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31f4fd035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览" sheetId="1" r:id="R7bba92d8cee549c9"/>
    <x:sheet xmlns:r="http://schemas.openxmlformats.org/officeDocument/2006/relationships" name="参数" sheetId="2" r:id="Re842d6565f6147fd"/>
    <x:sheet xmlns:r="http://schemas.openxmlformats.org/officeDocument/2006/relationships" name="基础属性" sheetId="3" r:id="R5964ac055dc74dd0"/>
    <x:sheet xmlns:r="http://schemas.openxmlformats.org/officeDocument/2006/relationships" name="核心规则" sheetId="4" r:id="R9f8c9abce84f480f"/>
    <x:sheet xmlns:r="http://schemas.openxmlformats.org/officeDocument/2006/relationships" name="训练曲线" sheetId="5" r:id="R738b1ff8d3cc485f"/>
    <x:sheet xmlns:r="http://schemas.openxmlformats.org/officeDocument/2006/relationships" name="公共事件" sheetId="6" r:id="R742c10e9813d4796"/>
    <x:sheet xmlns:r="http://schemas.openxmlformats.org/officeDocument/2006/relationships" name="盘面试算" sheetId="7" r:id="R32485bcc38c64095"/>
    <x:sheet xmlns:r="http://schemas.openxmlformats.org/officeDocument/2006/relationships" name="概率分析" sheetId="8" r:id="Rc3fb0d10e8b24ae1"/>
    <x:sheet xmlns:r="http://schemas.openxmlformats.org/officeDocument/2006/relationships" name="经济推演" sheetId="9" r:id="R4480ab9ed7094ba2"/>
    <x:sheet xmlns:r="http://schemas.openxmlformats.org/officeDocument/2006/relationships" name="兵种数值" sheetId="10" r:id="R872ed78dc0f5456a"/>
    <x:sheet xmlns:r="http://schemas.openxmlformats.org/officeDocument/2006/relationships" name="符号谱系" sheetId="11" r:id="R53a692ff486e470b"/>
    <x:sheet xmlns:r="http://schemas.openxmlformats.org/officeDocument/2006/relationships" name="技能定义" sheetId="12" r:id="R7c16ce0dd0034e23"/>
    <x:sheet xmlns:r="http://schemas.openxmlformats.org/officeDocument/2006/relationships" name="训练专精" sheetId="13" r:id="Rc4ad549a161c4470"/>
    <x:sheet xmlns:r="http://schemas.openxmlformats.org/officeDocument/2006/relationships" name="状态规则" sheetId="14" r:id="R49ea4bdfb8644b5c"/>
    <x:sheet xmlns:r="http://schemas.openxmlformats.org/officeDocument/2006/relationships" name="协同组合" sheetId="15" r:id="Rdc2285147a8b425b"/>
    <x:sheet xmlns:r="http://schemas.openxmlformats.org/officeDocument/2006/relationships" name="构筑方向" sheetId="16" r:id="R7865314f21d948b1"/>
    <x:sheet xmlns:r="http://schemas.openxmlformats.org/officeDocument/2006/relationships" name="机器与军团遗物" sheetId="17" r:id="R0dfc5cb861ea4667"/>
    <x:sheet xmlns:r="http://schemas.openxmlformats.org/officeDocument/2006/relationships" name="消耗道具" sheetId="18" r:id="R78dbbc1d274241c7"/>
    <x:sheet xmlns:r="http://schemas.openxmlformats.org/officeDocument/2006/relationships" name="地图节点" sheetId="19" r:id="R63277a8a76034cec"/>
    <x:sheet xmlns:r="http://schemas.openxmlformats.org/officeDocument/2006/relationships" name="奖励规则" sheetId="20" r:id="Rdf996e0f68264427"/>
    <x:sheet xmlns:r="http://schemas.openxmlformats.org/officeDocument/2006/relationships" name="敌军数值" sheetId="21" r:id="Rc8028fb981b140ea"/>
    <x:sheet xmlns:r="http://schemas.openxmlformats.org/officeDocument/2006/relationships" name="遭遇波次" sheetId="22" r:id="R076c092fcab2433a"/>
    <x:sheet xmlns:r="http://schemas.openxmlformats.org/officeDocument/2006/relationships" name="地图事件" sheetId="23" r:id="R95221f359afc474f"/>
    <x:sheet xmlns:r="http://schemas.openxmlformats.org/officeDocument/2006/relationships" name="验证计划" sheetId="24" r:id="R6b9510bd5fff4dee"/>
    <x:sheet xmlns:r="http://schemas.openxmlformats.org/officeDocument/2006/relationships" name="概率模式" sheetId="25" r:id="R34c3f640082246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"/>
    <x:numFmt numFmtId="202" formatCode="0.000000"/>
    <x:numFmt numFmtId="203" formatCode="0.0000%"/>
    <x:numFmt numFmtId="204" formatCode="0.0000"/>
  </x:numFmts>
  <x:fonts count="5">
    <x:font>
      <x:sz val="11"/>
      <x:name val="Carlito"/>
    </x:font>
    <x:font>
      <x:sz val="11"/>
      <x:color rgb="FF222222"/>
      <x:name val="Arial"/>
    </x:font>
    <x:font>
      <x:b/>
      <x:sz val="16"/>
      <x:color rgb="FF111111"/>
      <x:name val="Arial"/>
    </x:font>
    <x:font>
      <x:b/>
      <x:sz val="11"/>
      <x:color rgb="FFFFFFFF"/>
      <x:name val="Arial"/>
    </x:font>
    <x:font>
      <x:b/>
      <x:sz val="14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CB"/>
      </x:patternFill>
    </x:fill>
    <x:fill>
      <x:patternFill patternType="solid">
        <x:fgColor rgb="FF293E50"/>
      </x:patternFill>
    </x:fill>
    <x:fill>
      <x:patternFill patternType="solid">
        <x:fgColor rgb="FFF2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4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9C2020"/>
      </x:font>
      <x:fill>
        <x:patternFill patternType="solid">
          <x:bgColor rgb="FFFCE0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3131ee86aa456e" /><Relationship Type="http://schemas.openxmlformats.org/officeDocument/2006/relationships/theme" Target="/xl/theme/theme1.xml" Id="R3309b154545e4bc1" /><Relationship Type="http://schemas.openxmlformats.org/officeDocument/2006/relationships/sharedStrings" Target="/xl/sharedStrings.xml" Id="R535b45e9daee4277" /><Relationship Type="http://schemas.openxmlformats.org/officeDocument/2006/relationships/worksheet" Target="/xl/worksheets/sheet1.xml" Id="R7bba92d8cee549c9" /><Relationship Type="http://schemas.openxmlformats.org/officeDocument/2006/relationships/worksheet" Target="/xl/worksheets/sheet2.xml" Id="Re842d6565f6147fd" /><Relationship Type="http://schemas.openxmlformats.org/officeDocument/2006/relationships/worksheet" Target="/xl/worksheets/sheet3.xml" Id="R5964ac055dc74dd0" /><Relationship Type="http://schemas.openxmlformats.org/officeDocument/2006/relationships/worksheet" Target="/xl/worksheets/sheet4.xml" Id="R9f8c9abce84f480f" /><Relationship Type="http://schemas.openxmlformats.org/officeDocument/2006/relationships/worksheet" Target="/xl/worksheets/sheet5.xml" Id="R738b1ff8d3cc485f" /><Relationship Type="http://schemas.openxmlformats.org/officeDocument/2006/relationships/worksheet" Target="/xl/worksheets/sheet6.xml" Id="R742c10e9813d4796" /><Relationship Type="http://schemas.openxmlformats.org/officeDocument/2006/relationships/worksheet" Target="/xl/worksheets/sheet7.xml" Id="R32485bcc38c64095" /><Relationship Type="http://schemas.openxmlformats.org/officeDocument/2006/relationships/worksheet" Target="/xl/worksheets/sheet8.xml" Id="Rc3fb0d10e8b24ae1" /><Relationship Type="http://schemas.openxmlformats.org/officeDocument/2006/relationships/worksheet" Target="/xl/worksheets/sheet9.xml" Id="R4480ab9ed7094ba2" /><Relationship Type="http://schemas.openxmlformats.org/officeDocument/2006/relationships/worksheet" Target="/xl/worksheets/sheet10.xml" Id="R872ed78dc0f5456a" /><Relationship Type="http://schemas.openxmlformats.org/officeDocument/2006/relationships/worksheet" Target="/xl/worksheets/sheet11.xml" Id="R53a692ff486e470b" /><Relationship Type="http://schemas.openxmlformats.org/officeDocument/2006/relationships/worksheet" Target="/xl/worksheets/sheet12.xml" Id="R7c16ce0dd0034e23" /><Relationship Type="http://schemas.openxmlformats.org/officeDocument/2006/relationships/worksheet" Target="/xl/worksheets/sheet13.xml" Id="Rc4ad549a161c4470" /><Relationship Type="http://schemas.openxmlformats.org/officeDocument/2006/relationships/worksheet" Target="/xl/worksheets/sheet14.xml" Id="R49ea4bdfb8644b5c" /><Relationship Type="http://schemas.openxmlformats.org/officeDocument/2006/relationships/worksheet" Target="/xl/worksheets/sheet15.xml" Id="Rdc2285147a8b425b" /><Relationship Type="http://schemas.openxmlformats.org/officeDocument/2006/relationships/worksheet" Target="/xl/worksheets/sheet16.xml" Id="R7865314f21d948b1" /><Relationship Type="http://schemas.openxmlformats.org/officeDocument/2006/relationships/worksheet" Target="/xl/worksheets/sheet17.xml" Id="R0dfc5cb861ea4667" /><Relationship Type="http://schemas.openxmlformats.org/officeDocument/2006/relationships/worksheet" Target="/xl/worksheets/sheet18.xml" Id="R78dbbc1d274241c7" /><Relationship Type="http://schemas.openxmlformats.org/officeDocument/2006/relationships/worksheet" Target="/xl/worksheets/sheet19.xml" Id="R63277a8a76034cec" /><Relationship Type="http://schemas.openxmlformats.org/officeDocument/2006/relationships/worksheet" Target="/xl/worksheets/sheet20.xml" Id="Rdf996e0f68264427" /><Relationship Type="http://schemas.openxmlformats.org/officeDocument/2006/relationships/worksheet" Target="/xl/worksheets/sheet21.xml" Id="Rc8028fb981b140ea" /><Relationship Type="http://schemas.openxmlformats.org/officeDocument/2006/relationships/worksheet" Target="/xl/worksheets/sheet22.xml" Id="R076c092fcab2433a" /><Relationship Type="http://schemas.openxmlformats.org/officeDocument/2006/relationships/worksheet" Target="/xl/worksheets/sheet23.xml" Id="R95221f359afc474f" /><Relationship Type="http://schemas.openxmlformats.org/officeDocument/2006/relationships/worksheet" Target="/xl/worksheets/sheet24.xml" Id="R6b9510bd5fff4dee" /><Relationship Type="http://schemas.openxmlformats.org/officeDocument/2006/relationships/worksheet" Target="/xl/worksheets/sheet25.xml" Id="R34c3f64008224638" /></Relationships>
</file>

<file path=xl/tables/table1.xml><?xml version="1.0" encoding="utf-8"?>
<x:table xmlns:x="http://schemas.openxmlformats.org/spreadsheetml/2006/main" id="23" name="DataTable_25" displayName="DataTable_25" ref="A4:B21" headerRowCount="1" totalsRowCount="0" totalsRowShown="0">
  <x:autoFilter ref="A4:B21"/>
  <x:tableColumns count="2">
    <x:tableColumn id="1" name="内容"/>
    <x:tableColumn id="2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ataTable_2" displayName="DataTable_2" ref="A4:F20" headerRowCount="1" totalsRowCount="0" totalsRowShown="0">
  <x:autoFilter ref="A4:F20"/>
  <x:tableColumns count="6">
    <x:tableColumn id="1" name="属性ID"/>
    <x:tableColumn id="2" name="名称"/>
    <x:tableColumn id="3" name="单位"/>
    <x:tableColumn id="4" name="允许范围"/>
    <x:tableColumn id="5" name="作用"/>
    <x:tableColumn id="6" name="结算规则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ataTable_3" displayName="DataTable_3" ref="A4:C23" headerRowCount="1" totalsRowCount="0" totalsRowShown="0">
  <x:autoFilter ref="A4:C23"/>
  <x:tableColumns count="3">
    <x:tableColumn id="1" name="规则ID"/>
    <x:tableColumn id="2" name="主题"/>
    <x:tableColumn id="3" name="规则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DataTable_4" displayName="DataTable_4" ref="A4:F12" headerRowCount="1" totalsRowCount="0" totalsRowShown="0">
  <x:autoFilter ref="A4:F12"/>
  <x:tableColumns count="6">
    <x:tableColumn id="1" name="等级"/>
    <x:tableColumn id="2" name="累计经验"/>
    <x:tableColumn id="3" name="生命倍率"/>
    <x:tableColumn id="4" name="攻击倍率"/>
    <x:tableColumn id="5" name="护甲增加"/>
    <x:tableColumn id="6" name="专精规则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DataTable_5" displayName="DataTable_5" ref="A4:C18" headerRowCount="1" totalsRowCount="0" totalsRowShown="0">
  <x:autoFilter ref="A4:C18"/>
  <x:tableColumns count="3">
    <x:tableColumn id="1" name="事件ID"/>
    <x:tableColumn id="2" name="发生条件"/>
    <x:tableColumn id="3" name="处理限制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1" name="DataTable_22" displayName="DataTable_22" ref="A4:C13" headerRowCount="1" totalsRowCount="0" totalsRowShown="0">
  <x:autoFilter ref="A4:C13"/>
  <x:tableColumns count="3">
    <x:tableColumn id="1" name="指标"/>
    <x:tableColumn id="2" name="计算值"/>
    <x:tableColumn id="3" name="口径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2" name="DataTable_24" displayName="DataTable_24" ref="A4:N31" headerRowCount="1" totalsRowCount="0" totalsRowShown="0">
  <x:autoFilter ref="A4:N31"/>
  <x:tableColumns count="14">
    <x:tableColumn id="1" name="全局波"/>
    <x:tableColumn id="2" name="章节"/>
    <x:tableColumn id="3" name="路线层"/>
    <x:tableColumn id="4" name="节点ID"/>
    <x:tableColumn id="5" name="节点波"/>
    <x:tableColumn id="6" name="准备期余额"/>
    <x:tableColumn id="7" name="本波收入"/>
    <x:tableColumn id="8" name="占领收入"/>
    <x:tableColumn id="9" name="追加次数"/>
    <x:tableColumn id="10" name="抽取支出"/>
    <x:tableColumn id="11" name="节点服务支出"/>
    <x:tableColumn id="12" name="本波净额"/>
    <x:tableColumn id="13" name="期末骨头"/>
    <x:tableColumn id="14" name="支付检查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" name="DataTable_6" displayName="DataTable_6" ref="A4:Y40" headerRowCount="1" totalsRowCount="0" totalsRowShown="0">
  <x:autoFilter ref="A4:Y40"/>
  <x:tableColumns count="25">
    <x:tableColumn id="1" name="兵种ID"/>
    <x:tableColumn id="2" name="名称"/>
    <x:tableColumn id="3" name="家族"/>
    <x:tableColumn id="4" name="出生阶"/>
    <x:tableColumn id="5" name="分支"/>
    <x:tableColumn id="6" name="普攻类型"/>
    <x:tableColumn id="7" name="Lv1生命"/>
    <x:tableColumn id="8" name="Lv1攻击"/>
    <x:tableColumn id="9" name="Lv1护甲"/>
    <x:tableColumn id="10" name="攻速每秒"/>
    <x:tableColumn id="11" name="移动米秒"/>
    <x:tableColumn id="12" name="射程米"/>
    <x:tableColumn id="13" name="暴击率"/>
    <x:tableColumn id="14" name="暴击倍率"/>
    <x:tableColumn id="15" name="再生每秒"/>
    <x:tableColumn id="16" name="格挡率"/>
    <x:tableColumn id="17" name="格挡减伤"/>
    <x:tableColumn id="18" name="吸血率"/>
    <x:tableColumn id="19" name="试算等级"/>
    <x:tableColumn id="20" name="训练生命"/>
    <x:tableColumn id="21" name="训练攻击"/>
    <x:tableColumn id="22" name="训练护甲"/>
    <x:tableColumn id="23" name="普攻期望DPS"/>
    <x:tableColumn id="24" name="对目标护甲DPS"/>
    <x:tableColumn id="25" name="实现阶段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6" name="DataTable_7" displayName="DataTable_7" ref="A4:K10" headerRowCount="1" totalsRowCount="0" totalsRowShown="0">
  <x:autoFilter ref="A4:K10"/>
  <x:tableColumns count="11">
    <x:tableColumn id="1" name="家族ID"/>
    <x:tableColumn id="2" name="家族名称"/>
    <x:tableColumn id="3" name="符号"/>
    <x:tableColumn id="4" name="黑色幽默"/>
    <x:tableColumn id="5" name="核心用途"/>
    <x:tableColumn id="6" name="A方向"/>
    <x:tableColumn id="7" name="B方向"/>
    <x:tableColumn id="8" name="R1"/>
    <x:tableColumn id="9" name="R2选择"/>
    <x:tableColumn id="10" name="R3选择"/>
    <x:tableColumn id="11" name="R4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7" name="DataTable_8" displayName="DataTable_8" ref="A4:L76" headerRowCount="1" totalsRowCount="0" totalsRowShown="0">
  <x:autoFilter ref="A4:L76"/>
  <x:tableColumns count="12">
    <x:tableColumn id="1" name="技能ID"/>
    <x:tableColumn id="2" name="兵种ID"/>
    <x:tableColumn id="3" name="兵种"/>
    <x:tableColumn id="4" name="类别"/>
    <x:tableColumn id="5" name="技能"/>
    <x:tableColumn id="6" name="触发"/>
    <x:tableColumn id="7" name="目标"/>
    <x:tableColumn id="8" name="效果与数值"/>
    <x:tableColumn id="9" name="攻击倍率"/>
    <x:tableColumn id="10" name="冷却秒"/>
    <x:tableColumn id="11" name="目标上限"/>
    <x:tableColumn id="12" name="派生限制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8" name="DataTable_9" displayName="DataTable_9" ref="A4:H76" headerRowCount="1" totalsRowCount="0" totalsRowShown="0">
  <x:autoFilter ref="A4:H76"/>
  <x:tableColumns count="8">
    <x:tableColumn id="1" name="专精ID"/>
    <x:tableColumn id="2" name="兵种ID"/>
    <x:tableColumn id="3" name="解锁等级"/>
    <x:tableColumn id="4" name="选项"/>
    <x:tableColumn id="5" name="名称"/>
    <x:tableColumn id="6" name="效果"/>
    <x:tableColumn id="7" name="机制变化"/>
    <x:tableColumn id="8" name="取舍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9" name="DataTable_10" displayName="DataTable_10" ref="A4:H16" headerRowCount="1" totalsRowCount="0" totalsRowShown="0">
  <x:autoFilter ref="A4:H16"/>
  <x:tableColumns count="8">
    <x:tableColumn id="1" name="状态ID"/>
    <x:tableColumn id="2" name="状态"/>
    <x:tableColumn id="3" name="类别"/>
    <x:tableColumn id="4" name="叠加规则"/>
    <x:tableColumn id="5" name="持续"/>
    <x:tableColumn id="6" name="上限"/>
    <x:tableColumn id="7" name="结束规则"/>
    <x:tableColumn id="8" name="交互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0" name="DataTable_11" displayName="DataTable_11" ref="A4:H20" headerRowCount="1" totalsRowCount="0" totalsRowShown="0">
  <x:autoFilter ref="A4:H20"/>
  <x:tableColumns count="8">
    <x:tableColumn id="1" name="协同ID"/>
    <x:tableColumn id="2" name="名称"/>
    <x:tableColumn id="3" name="关联兵种ID"/>
    <x:tableColumn id="4" name="遗物标签"/>
    <x:tableColumn id="5" name="事件链"/>
    <x:tableColumn id="6" name="成本与限制"/>
    <x:tableColumn id="7" name="敌方反制"/>
    <x:tableColumn id="8" name="替代入口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1" name="DataTable_12" displayName="DataTable_12" ref="A4:I12" headerRowCount="1" totalsRowCount="0" totalsRowShown="0">
  <x:autoFilter ref="A4:I12"/>
  <x:tableColumns count="9">
    <x:tableColumn id="1" name="构筑ID"/>
    <x:tableColumn id="2" name="名称"/>
    <x:tableColumn id="3" name="家族"/>
    <x:tableColumn id="4" name="核心事件"/>
    <x:tableColumn id="5" name="优先属性"/>
    <x:tableColumn id="6" name="遗物方向"/>
    <x:tableColumn id="7" name="阵型"/>
    <x:tableColumn id="8" name="弱点"/>
    <x:tableColumn id="9" name="老虎机计划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2" name="DataTable_13" displayName="DataTable_13" ref="A4:L40" headerRowCount="1" totalsRowCount="0" totalsRowShown="0">
  <x:autoFilter ref="A4:L40"/>
  <x:tableColumns count="12">
    <x:tableColumn id="1" name="遗物ID"/>
    <x:tableColumn id="2" name="名称"/>
    <x:tableColumn id="3" name="类型"/>
    <x:tableColumn id="4" name="稀有度"/>
    <x:tableColumn id="5" name="骨头价格"/>
    <x:tableColumn id="6" name="解锁章"/>
    <x:tableColumn id="7" name="触发"/>
    <x:tableColumn id="8" name="效果"/>
    <x:tableColumn id="9" name="边界和上限"/>
    <x:tableColumn id="10" name="标签"/>
    <x:tableColumn id="11" name="取舍"/>
    <x:tableColumn id="12" name="实现阶段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3" name="DataTable_14" displayName="DataTable_14" ref="A4:H16" headerRowCount="1" totalsRowCount="0" totalsRowShown="0">
  <x:autoFilter ref="A4:H16"/>
  <x:tableColumns count="8">
    <x:tableColumn id="1" name="道具ID"/>
    <x:tableColumn id="2" name="名称"/>
    <x:tableColumn id="3" name="价格骨头"/>
    <x:tableColumn id="4" name="使用阶段"/>
    <x:tableColumn id="5" name="效果"/>
    <x:tableColumn id="6" name="限制"/>
    <x:tableColumn id="7" name="标签"/>
    <x:tableColumn id="8" name="实现阶段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4" name="DataTable_15" displayName="DataTable_15" ref="A4:I11" headerRowCount="1" totalsRowCount="0" totalsRowShown="0">
  <x:autoFilter ref="A4:I11"/>
  <x:tableColumns count="9">
    <x:tableColumn id="1" name="节点ID"/>
    <x:tableColumn id="2" name="名称"/>
    <x:tableColumn id="3" name="目的"/>
    <x:tableColumn id="4" name="波数"/>
    <x:tableColumn id="5" name="选项"/>
    <x:tableColumn id="6" name="费用"/>
    <x:tableColumn id="7" name="奖励"/>
    <x:tableColumn id="8" name="提前显示"/>
    <x:tableColumn id="9" name="限制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5" name="DataTable_16" displayName="DataTable_16" ref="A4:H13" headerRowCount="1" totalsRowCount="0" totalsRowShown="0">
  <x:autoFilter ref="A4:H13"/>
  <x:tableColumns count="8">
    <x:tableColumn id="1" name="键"/>
    <x:tableColumn id="2" name="章节"/>
    <x:tableColumn id="3" name="节点ID"/>
    <x:tableColumn id="4" name="每波骨头"/>
    <x:tableColumn id="5" name="占领骨头"/>
    <x:tableColumn id="6" name="遗物规则"/>
    <x:tableColumn id="7" name="额外奖励"/>
    <x:tableColumn id="8" name="结算边界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6" name="DataTable_17" displayName="DataTable_17" ref="A4:N19" headerRowCount="1" totalsRowCount="0" totalsRowShown="0">
  <x:autoFilter ref="A4:N19"/>
  <x:tableColumns count="14">
    <x:tableColumn id="1" name="敌人ID"/>
    <x:tableColumn id="2" name="名称"/>
    <x:tableColumn id="3" name="章"/>
    <x:tableColumn id="4" name="职责"/>
    <x:tableColumn id="5" name="生命"/>
    <x:tableColumn id="6" name="攻击"/>
    <x:tableColumn id="7" name="护甲"/>
    <x:tableColumn id="8" name="攻速"/>
    <x:tableColumn id="9" name="移速"/>
    <x:tableColumn id="10" name="射程"/>
    <x:tableColumn id="11" name="技能"/>
    <x:tableColumn id="12" name="威胁"/>
    <x:tableColumn id="13" name="应对"/>
    <x:tableColumn id="14" name="骨头规则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7" name="DataTable_18" displayName="DataTable_18" ref="A4:I40" headerRowCount="1" totalsRowCount="0" totalsRowShown="0">
  <x:autoFilter ref="A4:I40"/>
  <x:tableColumns count="9">
    <x:tableColumn id="1" name="波次ID"/>
    <x:tableColumn id="2" name="章节"/>
    <x:tableColumn id="3" name="路线层"/>
    <x:tableColumn id="4" name="节点ID"/>
    <x:tableColumn id="5" name="波号"/>
    <x:tableColumn id="6" name="敌军ID和数量"/>
    <x:tableColumn id="7" name="特殊规则"/>
    <x:tableColumn id="8" name="主要威胁"/>
    <x:tableColumn id="9" name="预算提示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18" name="DataTable_19" displayName="DataTable_19" ref="A4:E12" headerRowCount="1" totalsRowCount="0" totalsRowShown="0">
  <x:autoFilter ref="A4:E12"/>
  <x:tableColumns count="5">
    <x:tableColumn id="1" name="事件ID"/>
    <x:tableColumn id="2" name="名称"/>
    <x:tableColumn id="3" name="事件说明"/>
    <x:tableColumn id="4" name="选择内容"/>
    <x:tableColumn id="5" name="限制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19" name="DataTable_20" displayName="DataTable_20" ref="A4:F22" headerRowCount="1" totalsRowCount="0" totalsRowShown="0">
  <x:autoFilter ref="A4:F22"/>
  <x:tableColumns count="6">
    <x:tableColumn id="1" name="风险ID"/>
    <x:tableColumn id="2" name="具体失败情景"/>
    <x:tableColumn id="3" name="严重度"/>
    <x:tableColumn id="4" name="设计控制"/>
    <x:tableColumn id="5" name="验收方法"/>
    <x:tableColumn id="6" name="当前状态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0" name="DataTable_21" displayName="DataTable_21" ref="A4:S224" headerRowCount="1" totalsRowCount="0" totalsRowShown="0">
  <x:autoFilter ref="A4:S224"/>
  <x:tableColumns count="19">
    <x:tableColumn id="1" name="数1"/>
    <x:tableColumn id="2" name="数2"/>
    <x:tableColumn id="3" name="数3"/>
    <x:tableColumn id="4" name="数4"/>
    <x:tableColumn id="5" name="盘面数"/>
    <x:tableColumn id="6" name="中奖盘面数"/>
    <x:tableColumn id="7" name="R1总兵数"/>
    <x:tableColumn id="8" name="R2总兵数"/>
    <x:tableColumn id="9" name="R3总兵数"/>
    <x:tableColumn id="10" name="R4总兵数"/>
    <x:tableColumn id="11" name="总兵数"/>
    <x:tableColumn id="12" name="单盘概率"/>
    <x:tableColumn id="13" name="概率质量"/>
    <x:tableColumn id="14" name="中奖概率贡献"/>
    <x:tableColumn id="15" name="R1期望贡献"/>
    <x:tableColumn id="16" name="R2期望贡献"/>
    <x:tableColumn id="17" name="R3期望贡献"/>
    <x:tableColumn id="18" name="R4期望贡献"/>
    <x:tableColumn id="19" name="总兵期望贡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f5fdddf0204c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e16ac1b5f046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ca7ea56b7a47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469d919ca24d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a73d26dad94d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7211b4d59574e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64f4c36a6b34e0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5daab78a423048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f577957fdc4ad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69f95add18f47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38e2f83ec16f45a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799c09add9e642b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3f47d61828d64e8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8d9d0de01a06431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a80c91767a0a437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5512006536ee4d4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4761f8d0d951471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349e12749524473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6c231dbf5dcd4c2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3776b1602451469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57859eb494804a1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2bab4da648704d8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b0c4ad2392f543f8" /></Relationships>
</file>

<file path=xl/worksheets/sheet1.xml><?xml version="1.0" encoding="utf-8"?>
<x:worksheet xmlns:x="http://schemas.openxmlformats.org/spreadsheetml/2006/main">
  <x:sheetPr>
    <x:tabColor rgb="FF293E50"/>
  </x:sheetPr>
  <x:sheetViews>
    <x:sheetView showGridLines="0" workbookViewId="0"/>
  </x:sheetViews>
  <x:sheetFormatPr defaultRowHeight="15"/>
  <x:cols>
    <x:col min="1" max="1" width="26.110000610351562" hidden="0" customWidth="1"/>
    <x:col min="2" max="2" width="82.22000122070312" hidden="0" customWidth="1"/>
    <x:col min="3" max="3" width="58.88999938964844" hidden="0" customWidth="1"/>
    <x:col min="4" max="4" width="47.779998779296875" hidden="0" customWidth="1"/>
  </x:cols>
  <x:sheetData>
    <x:row r="1">
      <x:c r="A1" s="3"/>
      <x:c r="B1" s="3"/>
    </x:row>
    <x:row r="2" ht="30" customHeight="1">
      <x:c r="A2" s="5" t="str">
        <x:v>白骨开张 系统与数值设计</x:v>
      </x:c>
      <x:c r="B2" s="4"/>
    </x:row>
    <x:row r="3">
      <x:c r="A3" s="3"/>
      <x:c r="B3" s="3"/>
    </x:row>
    <x:row r="4" ht="36" customHeight="1">
      <x:c r="A4" s="10" t="str">
        <x:v>内容</x:v>
      </x:c>
      <x:c r="B4" s="10" t="str">
        <x:v>说明</x:v>
      </x:c>
    </x:row>
    <x:row r="5" ht="27" customHeight="1">
      <x:c r="A5" s="3" t="str">
        <x:v>版本</x:v>
      </x:c>
      <x:c r="B5" s="3" t="str">
        <x:v>1.0</x:v>
      </x:c>
    </x:row>
    <x:row r="6" ht="27" customHeight="1">
      <x:c r="A6" s="11" t="str">
        <x:v>设计状态</x:v>
      </x:c>
      <x:c r="B6" s="11" t="str">
        <x:v>规则与数值设计初稿 尚未实战平衡</x:v>
      </x:c>
    </x:row>
    <x:row r="7" ht="27" customHeight="1">
      <x:c r="A7" s="3" t="str">
        <x:v>核心规则</x:v>
      </x:c>
      <x:c r="B7" s="3" t="str">
        <x:v>出生阶级由老虎机决定 训练不能升阶</x:v>
      </x:c>
    </x:row>
    <x:row r="8" ht="27" customHeight="1">
      <x:c r="A8" s="11" t="str">
        <x:v>属性与成长</x:v>
      </x:c>
      <x:c r="B8" s="11" t="str">
        <x:v>参数控制训练等级和目标护甲，兵种数值自动重算</x:v>
      </x:c>
    </x:row>
    <x:row r="9" ht="27" customHeight="1">
      <x:c r="A9" s="3" t="str">
        <x:v>概率工具</x:v>
      </x:c>
      <x:c r="B9" s="3" t="str">
        <x:v>改四族权重看基础中奖率；盘面试算可手动输入九格</x:v>
      </x:c>
    </x:row>
    <x:row r="10" ht="27" customHeight="1">
      <x:c r="A10" s="11" t="str">
        <x:v>兵种数量</x:v>
      </x:c>
      <x:c r="B10" s="11" t="n">
        <x:f>COUNTA('兵种数值'!A5:A40)</x:f>
        <x:v>36</x:v>
      </x:c>
    </x:row>
    <x:row r="11" ht="27" customHeight="1">
      <x:c r="A11" s="3" t="str">
        <x:v>专精数量</x:v>
      </x:c>
      <x:c r="B11" s="3" t="n">
        <x:f>COUNTA('训练专精'!A5:A76)</x:f>
        <x:v>72</x:v>
      </x:c>
    </x:row>
    <x:row r="12" ht="27" customHeight="1">
      <x:c r="A12" s="11" t="str">
        <x:v>遗物数量</x:v>
      </x:c>
      <x:c r="B12" s="11" t="n">
        <x:f>COUNTA('机器与军团遗物'!A5:A40)</x:f>
        <x:v>36</x:v>
      </x:c>
    </x:row>
    <x:row r="13" ht="27" customHeight="1">
      <x:c r="A13" s="3" t="str">
        <x:v>消耗品数量</x:v>
      </x:c>
      <x:c r="B13" s="3" t="n">
        <x:f>COUNTA('消耗道具'!A5:A16)</x:f>
        <x:v>12</x:v>
      </x:c>
    </x:row>
    <x:row r="14" ht="27" customHeight="1">
      <x:c r="A14" s="11" t="str">
        <x:v>地图节点种类</x:v>
      </x:c>
      <x:c r="B14" s="11" t="n">
        <x:f>COUNTA('地图节点'!A5:A11)</x:f>
        <x:v>7</x:v>
      </x:c>
    </x:row>
    <x:row r="15" ht="27" customHeight="1">
      <x:c r="A15" s="3" t="str">
        <x:v>敌人种类</x:v>
      </x:c>
      <x:c r="B15" s="3" t="n">
        <x:f>COUNTA('敌军数值'!A5:A19)</x:f>
        <x:v>15</x:v>
      </x:c>
    </x:row>
    <x:row r="16" ht="27" customHeight="1">
      <x:c r="A16" s="11" t="str">
        <x:v>遭遇模板</x:v>
      </x:c>
      <x:c r="B16" s="11" t="n">
        <x:f>COUNTA('遭遇波次'!A5:A40)</x:f>
        <x:v>36</x:v>
      </x:c>
    </x:row>
    <x:row r="17" ht="27" customHeight="1">
      <x:c r="A17" s="3" t="str">
        <x:v>正常通关波数</x:v>
      </x:c>
      <x:c r="B17" s="3" t="n">
        <x:v>27</x:v>
      </x:c>
    </x:row>
    <x:row r="18" ht="27" customHeight="1">
      <x:c r="A18" s="11" t="str">
        <x:v>经济计划期末骨头</x:v>
      </x:c>
      <x:c r="B18" s="11" t="n">
        <x:f>'经济推演'!M31</x:f>
        <x:v>156</x:v>
      </x:c>
    </x:row>
    <x:row r="19" ht="27" customHeight="1">
      <x:c r="A19" s="3" t="str">
        <x:v>输入颜色</x:v>
      </x:c>
      <x:c r="B19" s="3" t="str">
        <x:v>浅黄色为常用试算输入；其他设计表也可编辑</x:v>
      </x:c>
    </x:row>
    <x:row r="20" ht="27" customHeight="1">
      <x:c r="A20" s="11" t="str">
        <x:v>公式口径</x:v>
      </x:c>
      <x:c r="B20" s="11" t="str">
        <x:v>DPS仅基础普攻；概率不含遗物与干预；经济为全胜路径</x:v>
      </x:c>
    </x:row>
    <x:row r="21" ht="27" customHeight="1">
      <x:c r="A21" s="3" t="str">
        <x:v>原型验收</x:v>
      </x:c>
      <x:c r="B21" s="3" t="str">
        <x:v>强度 平衡 乐趣 45至60分钟时长 仍需实测</x:v>
      </x:c>
    </x:row>
    <x:row r="22">
      <x:c r="A22" s="3"/>
      <x:c r="B22" s="3"/>
    </x:row>
    <x:row r="23">
      <x:c r="A23" s="3"/>
      <x:c r="B23" s="3"/>
    </x:row>
    <x:row r="24" ht="70" customHeight="1">
      <x:c r="A24" s="3" t="str">
        <x:v>来源ID</x:v>
      </x:c>
      <x:c r="B24" s="3" t="str">
        <x:v>参考来源</x:v>
      </x:c>
      <x:c r="C24" t="str">
        <x:v>链接</x:v>
      </x:c>
      <x:c r="D24" t="str">
        <x:v>本项目借鉴内容</x:v>
      </x:c>
    </x:row>
    <x:row r="25" ht="70" customHeight="1">
      <x:c r="A25" t="str">
        <x:v>S01</x:v>
      </x:c>
      <x:c r="B25" t="str">
        <x:v>SLOTBOUND 开发者介绍</x:v>
      </x:c>
      <x:c r="C25" t="str">
        <x:v>https://optimaarch.itch.io/slotbound</x:v>
      </x:c>
      <x:c r="D25" t="str">
        <x:v>抽取 吸收 分波经营；仅借鉴设计思路，本文数值均为原创初值</x:v>
      </x:c>
    </x:row>
    <x:row r="26" ht="70" customHeight="1">
      <x:c r="A26" t="str">
        <x:v>S02</x:v>
      </x:c>
      <x:c r="B26" t="str">
        <x:v>SLOTBOUND 官方更新</x:v>
      </x:c>
      <x:c r="C26" t="str">
        <x:v>https://steamcommunity.com/app/4459590/allnews/</x:v>
      </x:c>
      <x:c r="D26" t="str">
        <x:v>核心改变玩法 反馈可读性；不照搬当前版本数值</x:v>
      </x:c>
    </x:row>
    <x:row r="27" ht="70" customHeight="1">
      <x:c r="A27" t="str">
        <x:v>S03</x:v>
      </x:c>
      <x:c r="B27" t="str">
        <x:v>HOW MANY DUDES 开发者指南</x:v>
      </x:c>
      <x:c r="C27" t="str">
        <x:v>https://blog.bscotch.net/post/how-many-dudes-guide/</x:v>
      </x:c>
      <x:c r="D27" t="str">
        <x:v>能力 遗物 饰品 奖励池构筑逻辑</x:v>
      </x:c>
    </x:row>
    <x:row r="28" ht="70" customHeight="1">
      <x:c r="A28" t="str">
        <x:v>S04</x:v>
      </x:c>
      <x:c r="B28" t="str">
        <x:v>HOW MANY DUDES 官方图鉴</x:v>
      </x:c>
      <x:c r="C28" t="str">
        <x:v>https://howmanydudes.com/en/dudex</x:v>
      </x:c>
      <x:c r="D28" t="str">
        <x:v>事件定义与召唤物边界；兵种名称和技能为本项目重新设计</x:v>
      </x:c>
    </x:row>
    <x:row r="29" ht="70" customHeight="1">
      <x:c r="A29" t="str">
        <x:v>S05</x:v>
      </x:c>
      <x:c r="B29" t="str">
        <x:v>杀戮尖塔 开发者访谈</x:v>
      </x:c>
      <x:c r="C29" t="str">
        <x:v>https://www.gamedeveloper.com/game-platforms/road-to-the-igf-mega-crit-games-i-slay-the-spire-i-</x:v>
      </x:c>
      <x:c r="D29" t="str">
        <x:v>路线承载风险收益规划 不同敌人检验不同构筑</x:v>
      </x:c>
    </x:row>
  </x:sheetData>
  <x:mergeCells>
    <x:mergeCell ref="A2:B2"/>
  </x:mergeCells>
  <x:pageMargins left="0.7" right="0.7" top="0.75" bottom="0.75" header="0.3" footer="0.3"/>
  <x:tableParts count="1">
    <x:tablePart xmlns:r="http://schemas.openxmlformats.org/officeDocument/2006/relationships" r:id="R4cf5fdddf0204cfa"/>
  </x:tableParts>
</x:worksheet>
</file>

<file path=xl/worksheets/sheet2.xml><?xml version="1.0" encoding="utf-8"?>
<x:worksheet xmlns:x="http://schemas.openxmlformats.org/spreadsheetml/2006/main">
  <x:sheetPr>
    <x:tabColor rgb="FFB78B2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110000610351562" hidden="0" customWidth="1"/>
    <x:col min="2" max="2" width="25.559999465942383" hidden="0" customWidth="1"/>
    <x:col min="3" max="3" width="13.329999923706055" hidden="0" customWidth="1"/>
    <x:col min="4" max="4" width="15.5600004196167" hidden="0" customWidth="1"/>
    <x:col min="5" max="5" width="11.109999656677246" hidden="0" customWidth="1"/>
    <x:col min="6" max="6" width="43.33000183105469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30" customHeight="1">
      <x:c r="A2" s="5" t="str">
        <x:v>可修改参数与四个活跃符号</x:v>
      </x:c>
      <x:c r="B2" s="4"/>
      <x:c r="C2" s="4"/>
      <x:c r="D2" s="4"/>
      <x:c r="E2" s="4"/>
      <x:c r="F2" s="4"/>
      <x:c r="G2" s="4"/>
    </x:row>
    <x:row r="3">
      <x:c r="A3" s="3"/>
      <x:c r="B3" s="3"/>
      <x:c r="C3" s="3"/>
      <x:c r="D3" s="3"/>
      <x:c r="E3" s="3"/>
      <x:c r="F3" s="3"/>
      <x:c r="G3" s="3"/>
    </x:row>
    <x:row r="4" ht="32" customHeight="1">
      <x:c r="A4" s="9" t="str">
        <x:v>位置</x:v>
      </x:c>
      <x:c r="B4" s="9" t="str">
        <x:v>家族ID</x:v>
      </x:c>
      <x:c r="C4" s="9" t="str">
        <x:v>权重份数</x:v>
      </x:c>
      <x:c r="D4" s="9" t="str">
        <x:v>单格概率</x:v>
      </x:c>
      <x:c r="E4" s="3"/>
      <x:c r="F4" s="3"/>
      <x:c r="G4" s="3"/>
    </x:row>
    <x:row r="5">
      <x:c r="A5" s="3" t="str">
        <x:v>1</x:v>
      </x:c>
      <x:c r="B5" s="3" t="str">
        <x:v>SK</x:v>
      </x:c>
      <x:c r="C5" s="6" t="n">
        <x:v>5</x:v>
      </x:c>
      <x:c r="D5" s="7" t="n">
        <x:f>C5/SUM($C$5:$C$8)</x:f>
        <x:v>0.25</x:v>
      </x:c>
      <x:c r="E5" s="3"/>
      <x:c r="F5" s="3"/>
      <x:c r="G5" s="3"/>
    </x:row>
    <x:row r="6">
      <x:c r="A6" s="3" t="str">
        <x:v>2</x:v>
      </x:c>
      <x:c r="B6" s="3" t="str">
        <x:v>ZM</x:v>
      </x:c>
      <x:c r="C6" s="6" t="n">
        <x:v>5</x:v>
      </x:c>
      <x:c r="D6" s="7" t="n">
        <x:f>C6/SUM($C$5:$C$8)</x:f>
        <x:v>0.25</x:v>
      </x:c>
      <x:c r="E6" s="3"/>
      <x:c r="F6" s="3"/>
      <x:c r="G6" s="3"/>
    </x:row>
    <x:row r="7">
      <x:c r="A7" s="3" t="str">
        <x:v>3</x:v>
      </x:c>
      <x:c r="B7" s="3" t="str">
        <x:v>HR</x:v>
      </x:c>
      <x:c r="C7" s="6" t="n">
        <x:v>5</x:v>
      </x:c>
      <x:c r="D7" s="7" t="n">
        <x:f>C7/SUM($C$5:$C$8)</x:f>
        <x:v>0.25</x:v>
      </x:c>
      <x:c r="E7" s="3"/>
      <x:c r="F7" s="3"/>
      <x:c r="G7" s="3"/>
    </x:row>
    <x:row r="8">
      <x:c r="A8" s="3" t="str">
        <x:v>4</x:v>
      </x:c>
      <x:c r="B8" s="3" t="str">
        <x:v>BL</x:v>
      </x:c>
      <x:c r="C8" s="6" t="n">
        <x:v>5</x:v>
      </x:c>
      <x:c r="D8" s="7" t="n">
        <x:f>C8/SUM($C$5:$C$8)</x:f>
        <x:v>0.25</x:v>
      </x:c>
      <x:c r="E8" s="3"/>
      <x:c r="F8" s="3"/>
      <x:c r="G8" s="3"/>
    </x:row>
    <x:row r="9">
      <x:c r="A9" s="3"/>
      <x:c r="B9" s="3"/>
      <x:c r="C9" s="3"/>
      <x:c r="D9" s="3"/>
      <x:c r="E9" s="3"/>
      <x:c r="F9" s="3"/>
      <x:c r="G9" s="3"/>
    </x:row>
    <x:row r="10">
      <x:c r="A10" s="3" t="str">
        <x:v>权重检查</x:v>
      </x:c>
      <x:c r="B10" s="3" t="str">
        <x:f>IF(AND(SUM(C5:C8)=20,MIN(C5:C8)&gt;=2,MAX(C5:C8)&lt;=10,B5&lt;&gt;B6,B5&lt;&gt;B7,B5&lt;&gt;B8,B6&lt;&gt;B7,B6&lt;&gt;B8,B7&lt;&gt;B8),"有效","总数须20且四族不同")</x:f>
        <x:v>有效</x:v>
      </x:c>
      <x:c r="C10" s="3"/>
      <x:c r="D10" s="3"/>
      <x:c r="E10" s="3"/>
      <x:c r="F10" s="3"/>
      <x:c r="G10" s="3"/>
    </x:row>
    <x:row r="11">
      <x:c r="A11" s="3"/>
      <x:c r="B11" s="3"/>
      <x:c r="C11" s="3"/>
      <x:c r="D11" s="3"/>
      <x:c r="E11" s="3"/>
      <x:c r="F11" s="3"/>
      <x:c r="G11" s="3"/>
    </x:row>
    <x:row r="12" ht="32" customHeight="1">
      <x:c r="A12" s="9" t="str">
        <x:v>参数ID</x:v>
      </x:c>
      <x:c r="B12" s="9" t="str">
        <x:v>含义</x:v>
      </x:c>
      <x:c r="C12" s="9" t="str">
        <x:v>可修改值</x:v>
      </x:c>
      <x:c r="D12" s="9" t="str">
        <x:v>单位</x:v>
      </x:c>
      <x:c r="E12" s="9"/>
      <x:c r="F12" s="9"/>
      <x:c r="G12" s="3"/>
    </x:row>
    <x:row r="13" ht="32" customHeight="1">
      <x:c r="A13" s="3" t="str">
        <x:v>START_BONES</x:v>
      </x:c>
      <x:c r="B13" s="3" t="str">
        <x:v>初始骨头</x:v>
      </x:c>
      <x:c r="C13" s="6" t="n">
        <x:v>12</x:v>
      </x:c>
      <x:c r="D13" s="3" t="str">
        <x:v>根</x:v>
      </x:c>
      <x:c r="E13" s="3" t="str">
        <x:v>经营</x:v>
      </x:c>
      <x:c r="F13" s="3" t="str">
        <x:v>每局重新开始</x:v>
      </x:c>
      <x:c r="G13" s="3"/>
    </x:row>
    <x:row r="14" ht="32" customHeight="1">
      <x:c r="A14" s="3" t="str">
        <x:v>PHYLACTERY_HP</x:v>
      </x:c>
      <x:c r="B14" s="3" t="str">
        <x:v>命匣最大生命</x:v>
      </x:c>
      <x:c r="C14" s="6" t="n">
        <x:v>60</x:v>
      </x:c>
      <x:c r="D14" s="3" t="str">
        <x:v>点</x:v>
      </x:c>
      <x:c r="E14" s="3" t="str">
        <x:v>战斗</x:v>
      </x:c>
      <x:c r="F14" s="3" t="str">
        <x:v>全局生命，不按己方死亡扣除</x:v>
      </x:c>
      <x:c r="G14" s="3"/>
    </x:row>
    <x:row r="15" ht="32" customHeight="1">
      <x:c r="A15" s="3" t="str">
        <x:v>DEPLOY_CAP</x:v>
      </x:c>
      <x:c r="B15" s="3" t="str">
        <x:v>正式上阵数</x:v>
      </x:c>
      <x:c r="C15" s="6" t="n">
        <x:v>6</x:v>
      </x:c>
      <x:c r="D15" s="3" t="str">
        <x:v>名</x:v>
      </x:c>
      <x:c r="E15" s="3" t="str">
        <x:v>军队</x:v>
      </x:c>
      <x:c r="F15" s="3" t="str">
        <x:v>候补不参加战斗</x:v>
      </x:c>
      <x:c r="G15" s="3"/>
    </x:row>
    <x:row r="16" ht="32" customHeight="1">
      <x:c r="A16" s="3" t="str">
        <x:v>RESERVE_CAP</x:v>
      </x:c>
      <x:c r="B16" s="3" t="str">
        <x:v>后备容量</x:v>
      </x:c>
      <x:c r="C16" s="6" t="n">
        <x:v>6</x:v>
      </x:c>
      <x:c r="D16" s="3" t="str">
        <x:v>名</x:v>
      </x:c>
      <x:c r="E16" s="3" t="str">
        <x:v>军队</x:v>
      </x:c>
      <x:c r="F16" s="3" t="str">
        <x:v>招募暂存不受容量限制，开战前整理</x:v>
      </x:c>
      <x:c r="G16" s="3"/>
    </x:row>
    <x:row r="17" ht="32" customHeight="1">
      <x:c r="A17" s="3" t="str">
        <x:v>SUMMON_CAP</x:v>
      </x:c>
      <x:c r="B17" s="3" t="str">
        <x:v>临时召唤上限</x:v>
      </x:c>
      <x:c r="C17" s="6" t="n">
        <x:v>12</x:v>
      </x:c>
      <x:c r="D17" s="3" t="str">
        <x:v>名</x:v>
      </x:c>
      <x:c r="E17" s="3" t="str">
        <x:v>战斗</x:v>
      </x:c>
      <x:c r="F17" s="3" t="str">
        <x:v>全队共享，超出不生成也不触发死亡</x:v>
      </x:c>
      <x:c r="G17" s="3"/>
    </x:row>
    <x:row r="18" ht="32" customHeight="1">
      <x:c r="A18" s="3" t="str">
        <x:v>MAX_LEVEL</x:v>
      </x:c>
      <x:c r="B18" s="3" t="str">
        <x:v>最高训练等级</x:v>
      </x:c>
      <x:c r="C18" s="6" t="n">
        <x:v>8</x:v>
      </x:c>
      <x:c r="D18" s="3" t="str">
        <x:v>级</x:v>
      </x:c>
      <x:c r="E18" s="3" t="str">
        <x:v>养成</x:v>
      </x:c>
      <x:c r="F18" s="3" t="str">
        <x:v>训练不能改变出生阶级</x:v>
      </x:c>
      <x:c r="G18" s="3"/>
    </x:row>
    <x:row r="19" ht="32" customHeight="1">
      <x:c r="A19" s="3" t="str">
        <x:v>HP_GROWTH</x:v>
      </x:c>
      <x:c r="B19" s="3" t="str">
        <x:v>每级基础生命增幅</x:v>
      </x:c>
      <x:c r="C19" s="6" t="n">
        <x:v>0.08</x:v>
      </x:c>
      <x:c r="D19" s="3" t="str">
        <x:v>比例</x:v>
      </x:c>
      <x:c r="E19" s="3" t="str">
        <x:v>养成</x:v>
      </x:c>
      <x:c r="F19" s="3" t="str">
        <x:v>对出生裸值线性增加</x:v>
      </x:c>
      <x:c r="G19" s="3"/>
    </x:row>
    <x:row r="20" ht="32" customHeight="1">
      <x:c r="A20" s="3" t="str">
        <x:v>ATK_GROWTH</x:v>
      </x:c>
      <x:c r="B20" s="3" t="str">
        <x:v>每级基础攻击增幅</x:v>
      </x:c>
      <x:c r="C20" s="6" t="n">
        <x:v>0.06</x:v>
      </x:c>
      <x:c r="D20" s="3" t="str">
        <x:v>比例</x:v>
      </x:c>
      <x:c r="E20" s="3" t="str">
        <x:v>养成</x:v>
      </x:c>
      <x:c r="F20" s="3" t="str">
        <x:v>对出生裸值线性增加</x:v>
      </x:c>
      <x:c r="G20" s="3"/>
    </x:row>
    <x:row r="21" ht="32" customHeight="1">
      <x:c r="A21" s="3" t="str">
        <x:v>ARMOR_GROWTH</x:v>
      </x:c>
      <x:c r="B21" s="3" t="str">
        <x:v>每级护甲增加</x:v>
      </x:c>
      <x:c r="C21" s="6" t="n">
        <x:v>2</x:v>
      </x:c>
      <x:c r="D21" s="3" t="str">
        <x:v>点</x:v>
      </x:c>
      <x:c r="E21" s="3" t="str">
        <x:v>养成</x:v>
      </x:c>
      <x:c r="F21" s="3" t="str">
        <x:v>暴击攻速移动不随训练自动增加</x:v>
      </x:c>
      <x:c r="G21" s="3"/>
    </x:row>
    <x:row r="22" ht="32" customHeight="1">
      <x:c r="A22" s="3" t="str">
        <x:v>DEF_K</x:v>
      </x:c>
      <x:c r="B22" s="3" t="str">
        <x:v>物理减伤常数</x:v>
      </x:c>
      <x:c r="C22" s="6" t="n">
        <x:v>100</x:v>
      </x:c>
      <x:c r="D22" s="3" t="str">
        <x:v>点</x:v>
      </x:c>
      <x:c r="E22" s="3" t="str">
        <x:v>战斗</x:v>
      </x:c>
      <x:c r="F22" s="3" t="str">
        <x:v>承伤倍率 K / (K + 有效护甲)</x:v>
      </x:c>
      <x:c r="G22" s="3"/>
    </x:row>
    <x:row r="23" ht="32" customHeight="1">
      <x:c r="A23" s="3" t="str">
        <x:v>WAVE_LIMIT</x:v>
      </x:c>
      <x:c r="B23" s="3" t="str">
        <x:v>每波战斗限时</x:v>
      </x:c>
      <x:c r="C23" s="6" t="n">
        <x:v>60</x:v>
      </x:c>
      <x:c r="D23" s="3" t="str">
        <x:v>秒</x:v>
      </x:c>
      <x:c r="E23" s="3" t="str">
        <x:v>战斗</x:v>
      </x:c>
      <x:c r="F23" s="3" t="str">
        <x:v>普通/精英超时扣命匣并撤退；首领任一波超时败局</x:v>
      </x:c>
      <x:c r="G23" s="3"/>
    </x:row>
    <x:row r="24" ht="32" customHeight="1">
      <x:c r="A24" s="3" t="str">
        <x:v>GATE_HP_COST</x:v>
      </x:c>
      <x:c r="B24" s="3" t="str">
        <x:v>普通敌人突破损伤</x:v>
      </x:c>
      <x:c r="C24" s="6" t="n">
        <x:v>2</x:v>
      </x:c>
      <x:c r="D24" s="3" t="str">
        <x:v>点</x:v>
      </x:c>
      <x:c r="E24" s="3" t="str">
        <x:v>战斗</x:v>
      </x:c>
      <x:c r="F24" s="3" t="str">
        <x:v>精英4 首领10 每波最多20</x:v>
      </x:c>
      <x:c r="G24" s="3"/>
    </x:row>
    <x:row r="25" ht="32" customHeight="1">
      <x:c r="A25" s="3" t="str">
        <x:v>WAVE_HP_CAP</x:v>
      </x:c>
      <x:c r="B25" s="3" t="str">
        <x:v>每波命匣损伤上限</x:v>
      </x:c>
      <x:c r="C25" s="6" t="n">
        <x:v>20</x:v>
      </x:c>
      <x:c r="D25" s="3" t="str">
        <x:v>点</x:v>
      </x:c>
      <x:c r="E25" s="3" t="str">
        <x:v>战斗</x:v>
      </x:c>
      <x:c r="F25" s="3" t="str">
        <x:v>首领任一波超时或末波首领突破均为败局</x:v>
      </x:c>
      <x:c r="G25" s="3"/>
    </x:row>
    <x:row r="26" ht="32" customHeight="1">
      <x:c r="A26" s="3" t="str">
        <x:v>FREE_SPINS</x:v>
      </x:c>
      <x:c r="B26" s="3" t="str">
        <x:v>每波免费抽取</x:v>
      </x:c>
      <x:c r="C26" s="6" t="n">
        <x:v>1</x:v>
      </x:c>
      <x:c r="D26" s="3" t="str">
        <x:v>次</x:v>
      </x:c>
      <x:c r="E26" s="3" t="str">
        <x:v>老虎机</x:v>
      </x:c>
      <x:c r="F26" s="3" t="str">
        <x:v>只能本波使用 不结转</x:v>
      </x:c>
      <x:c r="G26" s="3"/>
    </x:row>
    <x:row r="27" ht="32" customHeight="1">
      <x:c r="A27" s="3" t="str">
        <x:v>PAID_SPINS</x:v>
      </x:c>
      <x:c r="B27" s="3" t="str">
        <x:v>基础追加上限</x:v>
      </x:c>
      <x:c r="C27" s="6" t="n">
        <x:v>3</x:v>
      </x:c>
      <x:c r="D27" s="3" t="str">
        <x:v>次</x:v>
      </x:c>
      <x:c r="E27" s="3" t="str">
        <x:v>老虎机</x:v>
      </x:c>
      <x:c r="F27" s="3" t="str">
        <x:v>遗物最多提高至5</x:v>
      </x:c>
      <x:c r="G27" s="3"/>
    </x:row>
    <x:row r="28" ht="32" customHeight="1">
      <x:c r="A28" s="3" t="str">
        <x:v>SPIN_1</x:v>
      </x:c>
      <x:c r="B28" s="3" t="str">
        <x:v>第1次追加费用</x:v>
      </x:c>
      <x:c r="C28" s="6" t="n">
        <x:v>3</x:v>
      </x:c>
      <x:c r="D28" s="3" t="str">
        <x:v>根</x:v>
      </x:c>
      <x:c r="E28" s="3" t="str">
        <x:v>老虎机</x:v>
      </x:c>
      <x:c r="F28" s="3" t="str">
        <x:v>按本波追加序号</x:v>
      </x:c>
      <x:c r="G28" s="3"/>
    </x:row>
    <x:row r="29" ht="32" customHeight="1">
      <x:c r="A29" s="3" t="str">
        <x:v>SPIN_2</x:v>
      </x:c>
      <x:c r="B29" s="3" t="str">
        <x:v>第2次追加费用</x:v>
      </x:c>
      <x:c r="C29" s="6" t="n">
        <x:v>5</x:v>
      </x:c>
      <x:c r="D29" s="3" t="str">
        <x:v>根</x:v>
      </x:c>
      <x:c r="E29" s="3" t="str">
        <x:v>老虎机</x:v>
      </x:c>
      <x:c r="F29" s="3" t="str">
        <x:v>按本波追加序号</x:v>
      </x:c>
      <x:c r="G29" s="3"/>
    </x:row>
    <x:row r="30" ht="32" customHeight="1">
      <x:c r="A30" s="3" t="str">
        <x:v>SPIN_3</x:v>
      </x:c>
      <x:c r="B30" s="3" t="str">
        <x:v>第3次追加费用</x:v>
      </x:c>
      <x:c r="C30" s="6" t="n">
        <x:v>8</x:v>
      </x:c>
      <x:c r="D30" s="3" t="str">
        <x:v>根</x:v>
      </x:c>
      <x:c r="E30" s="3" t="str">
        <x:v>老虎机</x:v>
      </x:c>
      <x:c r="F30" s="3" t="str">
        <x:v>按本波追加序号</x:v>
      </x:c>
      <x:c r="G30" s="3"/>
    </x:row>
    <x:row r="31" ht="32" customHeight="1">
      <x:c r="A31" s="3" t="str">
        <x:v>SPIN_4</x:v>
      </x:c>
      <x:c r="B31" s="3" t="str">
        <x:v>第4次追加费用</x:v>
      </x:c>
      <x:c r="C31" s="6" t="n">
        <x:v>11</x:v>
      </x:c>
      <x:c r="D31" s="3" t="str">
        <x:v>根</x:v>
      </x:c>
      <x:c r="E31" s="3" t="str">
        <x:v>老虎机</x:v>
      </x:c>
      <x:c r="F31" s="3" t="str">
        <x:v>需要遗物解锁</x:v>
      </x:c>
      <x:c r="G31" s="3"/>
    </x:row>
    <x:row r="32" ht="32" customHeight="1">
      <x:c r="A32" s="3" t="str">
        <x:v>SPIN_5</x:v>
      </x:c>
      <x:c r="B32" s="3" t="str">
        <x:v>第5次追加费用</x:v>
      </x:c>
      <x:c r="C32" s="6" t="n">
        <x:v>14</x:v>
      </x:c>
      <x:c r="D32" s="3" t="str">
        <x:v>根</x:v>
      </x:c>
      <x:c r="E32" s="3" t="str">
        <x:v>老虎机</x:v>
      </x:c>
      <x:c r="F32" s="3" t="str">
        <x:v>需要遗物解锁</x:v>
      </x:c>
      <x:c r="G32" s="3"/>
    </x:row>
    <x:row r="33" ht="32" customHeight="1">
      <x:c r="A33" s="3" t="str">
        <x:v>INTERVENTIONS</x:v>
      </x:c>
      <x:c r="B33" s="3" t="str">
        <x:v>每盘干预上限</x:v>
      </x:c>
      <x:c r="C33" s="6" t="n">
        <x:v>2</x:v>
      </x:c>
      <x:c r="D33" s="3" t="str">
        <x:v>次</x:v>
      </x:c>
      <x:c r="E33" s="3" t="str">
        <x:v>老虎机</x:v>
      </x:c>
      <x:c r="F33" s="3" t="str">
        <x:v>所有来源共用 每次操作先扣次数</x:v>
      </x:c>
      <x:c r="G33" s="3"/>
    </x:row>
    <x:row r="34" ht="32" customHeight="1">
      <x:c r="A34" s="3" t="str">
        <x:v>TOTAL_WEIGHT</x:v>
      </x:c>
      <x:c r="B34" s="3" t="str">
        <x:v>符号权重总数</x:v>
      </x:c>
      <x:c r="C34" s="6" t="n">
        <x:v>20</x:v>
      </x:c>
      <x:c r="D34" s="3" t="str">
        <x:v>份</x:v>
      </x:c>
      <x:c r="E34" s="3" t="str">
        <x:v>老虎机</x:v>
      </x:c>
      <x:c r="F34" s="3" t="str">
        <x:v>四个当前符号总和</x:v>
      </x:c>
      <x:c r="G34" s="3"/>
    </x:row>
    <x:row r="35" ht="32" customHeight="1">
      <x:c r="A35" s="3" t="str">
        <x:v>MIN_WEIGHT</x:v>
      </x:c>
      <x:c r="B35" s="3" t="str">
        <x:v>单符号最低权重</x:v>
      </x:c>
      <x:c r="C35" s="6" t="n">
        <x:v>2</x:v>
      </x:c>
      <x:c r="D35" s="3" t="str">
        <x:v>份</x:v>
      </x:c>
      <x:c r="E35" s="3" t="str">
        <x:v>老虎机</x:v>
      </x:c>
      <x:c r="F35" s="3" t="str">
        <x:v>相当于10%</x:v>
      </x:c>
      <x:c r="G35" s="3"/>
    </x:row>
    <x:row r="36" ht="32" customHeight="1">
      <x:c r="A36" s="3" t="str">
        <x:v>MAX_WEIGHT</x:v>
      </x:c>
      <x:c r="B36" s="3" t="str">
        <x:v>单符号最高权重</x:v>
      </x:c>
      <x:c r="C36" s="6" t="n">
        <x:v>10</x:v>
      </x:c>
      <x:c r="D36" s="3" t="str">
        <x:v>份</x:v>
      </x:c>
      <x:c r="E36" s="3" t="str">
        <x:v>老虎机</x:v>
      </x:c>
      <x:c r="F36" s="3" t="str">
        <x:v>相当于50%</x:v>
      </x:c>
      <x:c r="G36" s="3"/>
    </x:row>
    <x:row r="37" ht="32" customHeight="1">
      <x:c r="A37" s="3" t="str">
        <x:v>MACHINE_SLOTS</x:v>
      </x:c>
      <x:c r="B37" s="3" t="str">
        <x:v>初始机器遗物槽</x:v>
      </x:c>
      <x:c r="C37" s="6" t="n">
        <x:v>2</x:v>
      </x:c>
      <x:c r="D37" s="3" t="str">
        <x:v>个</x:v>
      </x:c>
      <x:c r="E37" s="3" t="str">
        <x:v>遗物</x:v>
      </x:c>
      <x:c r="F37" s="3" t="str">
        <x:v>第一第二章城池各增加1 上限4</x:v>
      </x:c>
      <x:c r="G37" s="3"/>
    </x:row>
    <x:row r="38" ht="32" customHeight="1">
      <x:c r="A38" s="3" t="str">
        <x:v>ARMY_RELIC_CAP</x:v>
      </x:c>
      <x:c r="B38" s="3" t="str">
        <x:v>军团遗物上限</x:v>
      </x:c>
      <x:c r="C38" s="6" t="n">
        <x:v>6</x:v>
      </x:c>
      <x:c r="D38" s="3" t="str">
        <x:v>件</x:v>
      </x:c>
      <x:c r="E38" s="3" t="str">
        <x:v>遗物</x:v>
      </x:c>
      <x:c r="F38" s="3" t="str">
        <x:v>替换旧遗物永久放弃不退款</x:v>
      </x:c>
      <x:c r="G38" s="3"/>
    </x:row>
    <x:row r="39" ht="32" customHeight="1">
      <x:c r="A39" s="3" t="str">
        <x:v>ITEM_SLOTS</x:v>
      </x:c>
      <x:c r="B39" s="3" t="str">
        <x:v>消耗品背包格</x:v>
      </x:c>
      <x:c r="C39" s="6" t="n">
        <x:v>3</x:v>
      </x:c>
      <x:c r="D39" s="3" t="str">
        <x:v>格</x:v>
      </x:c>
      <x:c r="E39" s="3" t="str">
        <x:v>道具</x:v>
      </x:c>
      <x:c r="F39" s="3" t="str">
        <x:v>同类最多3个 每波最多用2个</x:v>
      </x:c>
      <x:c r="G39" s="3"/>
    </x:row>
    <x:row r="40" ht="32" customHeight="1">
      <x:c r="A40" s="3" t="str">
        <x:v>XP_SALVAGE_RATE</x:v>
      </x:c>
      <x:c r="B40" s="3" t="str">
        <x:v>献祭训练经验转移率</x:v>
      </x:c>
      <x:c r="C40" s="6" t="n">
        <x:v>0.75</x:v>
      </x:c>
      <x:c r="D40" s="3" t="str">
        <x:v>比例</x:v>
      </x:c>
      <x:c r="E40" s="3" t="str">
        <x:v>养成</x:v>
      </x:c>
      <x:c r="F40" s="3" t="str">
        <x:v>只加训练 不改变出生阶级</x:v>
      </x:c>
      <x:c r="G40" s="3"/>
    </x:row>
    <x:row r="41" ht="32" customHeight="1">
      <x:c r="A41" s="3" t="str">
        <x:v>GRAVE_HEAL</x:v>
      </x:c>
      <x:c r="B41" s="3" t="str">
        <x:v>墓园修复量</x:v>
      </x:c>
      <x:c r="C41" s="6" t="n">
        <x:v>15</x:v>
      </x:c>
      <x:c r="D41" s="3" t="str">
        <x:v>点</x:v>
      </x:c>
      <x:c r="E41" s="3" t="str">
        <x:v>地图</x:v>
      </x:c>
      <x:c r="F41" s="3" t="str">
        <x:v>不超过命匣上限 与训练二选一</x:v>
      </x:c>
      <x:c r="G41" s="3"/>
    </x:row>
    <x:row r="42" ht="32" customHeight="1">
      <x:c r="A42" s="3" t="str">
        <x:v>GRAVE_XP</x:v>
      </x:c>
      <x:c r="B42" s="3" t="str">
        <x:v>墓园训练经验</x:v>
      </x:c>
      <x:c r="C42" s="6" t="n">
        <x:v>12</x:v>
      </x:c>
      <x:c r="D42" s="3" t="str">
        <x:v>点</x:v>
      </x:c>
      <x:c r="E42" s="3" t="str">
        <x:v>地图</x:v>
      </x:c>
      <x:c r="F42" s="3" t="str">
        <x:v>指定一正式单位</x:v>
      </x:c>
      <x:c r="G42" s="3"/>
    </x:row>
    <x:row r="43" ht="32" customHeight="1">
      <x:c r="A43" s="3" t="str">
        <x:v>CRIT_CAP</x:v>
      </x:c>
      <x:c r="B43" s="3" t="str">
        <x:v>暴击率上限</x:v>
      </x:c>
      <x:c r="C43" s="6" t="n">
        <x:v>0.8</x:v>
      </x:c>
      <x:c r="D43" s="3" t="str">
        <x:v>比例</x:v>
      </x:c>
      <x:c r="E43" s="3" t="str">
        <x:v>战斗</x:v>
      </x:c>
      <x:c r="F43" s="3" t="str">
        <x:v>必暴效果独立处理</x:v>
      </x:c>
      <x:c r="G43" s="3"/>
    </x:row>
    <x:row r="44" ht="32" customHeight="1">
      <x:c r="A44" s="3" t="str">
        <x:v>APS_CAP</x:v>
      </x:c>
      <x:c r="B44" s="3" t="str">
        <x:v>攻速上限</x:v>
      </x:c>
      <x:c r="C44" s="6" t="n">
        <x:v>4</x:v>
      </x:c>
      <x:c r="D44" s="3" t="str">
        <x:v>次每秒</x:v>
      </x:c>
      <x:c r="E44" s="3" t="str">
        <x:v>战斗</x:v>
      </x:c>
      <x:c r="F44" s="3" t="str">
        <x:v>所有修正完成后截断</x:v>
      </x:c>
      <x:c r="G44" s="3"/>
    </x:row>
    <x:row r="45" ht="32" customHeight="1">
      <x:c r="A45" s="3" t="str">
        <x:v>BLOCK_CAP</x:v>
      </x:c>
      <x:c r="B45" s="3" t="str">
        <x:v>格挡率上限</x:v>
      </x:c>
      <x:c r="C45" s="6" t="n">
        <x:v>0.65</x:v>
      </x:c>
      <x:c r="D45" s="3" t="str">
        <x:v>比例</x:v>
      </x:c>
      <x:c r="E45" s="3" t="str">
        <x:v>战斗</x:v>
      </x:c>
      <x:c r="F45" s="3" t="str">
        <x:v>仅直接物理与法术</x:v>
      </x:c>
      <x:c r="G45" s="3"/>
    </x:row>
    <x:row r="46" ht="32" customHeight="1">
      <x:c r="A46" s="3" t="str">
        <x:v>BLOCK_REDUCTION_CAP</x:v>
      </x:c>
      <x:c r="B46" s="3" t="str">
        <x:v>格挡减伤上限</x:v>
      </x:c>
      <x:c r="C46" s="6" t="n">
        <x:v>0.7</x:v>
      </x:c>
      <x:c r="D46" s="3" t="str">
        <x:v>比例</x:v>
      </x:c>
      <x:c r="E46" s="3" t="str">
        <x:v>战斗</x:v>
      </x:c>
      <x:c r="F46" s="3" t="str">
        <x:v>真实伤害不可格挡</x:v>
      </x:c>
      <x:c r="G46" s="3"/>
    </x:row>
    <x:row r="47" ht="32" customHeight="1">
      <x:c r="A47" s="3" t="str">
        <x:v>LIFESTEAL_CAP</x:v>
      </x:c>
      <x:c r="B47" s="3" t="str">
        <x:v>吸血上限</x:v>
      </x:c>
      <x:c r="C47" s="6" t="n">
        <x:v>0.3</x:v>
      </x:c>
      <x:c r="D47" s="3" t="str">
        <x:v>比例</x:v>
      </x:c>
      <x:c r="E47" s="3" t="str">
        <x:v>战斗</x:v>
      </x:c>
      <x:c r="F47" s="3" t="str">
        <x:v>按实际生命伤害 不含溢出/打盾/持续伤害</x:v>
      </x:c>
      <x:c r="G47" s="3"/>
    </x:row>
    <x:row r="48" ht="32" customHeight="1">
      <x:c r="A48" s="3" t="str">
        <x:v>SHIELD_HP_CAP</x:v>
      </x:c>
      <x:c r="B48" s="3" t="str">
        <x:v>护盾总量上限</x:v>
      </x:c>
      <x:c r="C48" s="6" t="n">
        <x:v>0.6</x:v>
      </x:c>
      <x:c r="D48" s="3" t="str">
        <x:v>最大生命比例</x:v>
      </x:c>
      <x:c r="E48" s="3" t="str">
        <x:v>战斗</x:v>
      </x:c>
      <x:c r="F48" s="3" t="str">
        <x:v>多来源共用 护盾过期不算打破</x:v>
      </x:c>
      <x:c r="G48" s="3"/>
    </x:row>
    <x:row r="49" ht="32" customHeight="1">
      <x:c r="A49" s="3" t="str">
        <x:v>TARGET_ARMOR</x:v>
      </x:c>
      <x:c r="B49" s="3" t="str">
        <x:v>试算敌人护甲</x:v>
      </x:c>
      <x:c r="C49" s="6" t="n">
        <x:v>30</x:v>
      </x:c>
      <x:c r="D49" s="3" t="str">
        <x:v>点</x:v>
      </x:c>
      <x:c r="E49" s="3" t="str">
        <x:v>试算</x:v>
      </x:c>
      <x:c r="F49" s="3" t="str">
        <x:v>仅影响数值表基础普攻DPS</x:v>
      </x:c>
      <x:c r="G49" s="3"/>
    </x:row>
    <x:row r="50" ht="32" customHeight="1">
      <x:c r="A50" s="3" t="str">
        <x:v>TEST_LEVEL</x:v>
      </x:c>
      <x:c r="B50" s="3" t="str">
        <x:v>试算训练等级</x:v>
      </x:c>
      <x:c r="C50" s="6" t="n">
        <x:v>4</x:v>
      </x:c>
      <x:c r="D50" s="3" t="str">
        <x:v>级</x:v>
      </x:c>
      <x:c r="E50" s="3" t="str">
        <x:v>试算</x:v>
      </x:c>
      <x:c r="F50" s="3" t="str">
        <x:v>1至8 修改此值查看训练成长</x:v>
      </x:c>
      <x:c r="G50" s="3"/>
    </x:row>
    <x:row r="51" ht="32" customHeight="1">
      <x:c r="A51" s="3" t="str">
        <x:v>PLAN_SPINS</x:v>
      </x:c>
      <x:c r="B51" s="3" t="str">
        <x:v>经济计划每波追加次数</x:v>
      </x:c>
      <x:c r="C51" s="6" t="n">
        <x:v>1</x:v>
      </x:c>
      <x:c r="D51" s="3" t="str">
        <x:v>次</x:v>
      </x:c>
      <x:c r="E51" s="3" t="str">
        <x:v>试算</x:v>
      </x:c>
      <x:c r="F51" s="3" t="str">
        <x:v>0至3 基础规则；不足支付时显示不足</x:v>
      </x:c>
      <x:c r="G51" s="3"/>
    </x:row>
    <x:row r="52" ht="32" customHeight="1">
      <x:c r="A52" s="3" t="str">
        <x:v>ROUTE_RISK</x:v>
      </x:c>
      <x:c r="B52" s="3" t="str">
        <x:v>第3层路线选择</x:v>
      </x:c>
      <x:c r="C52" s="6" t="n">
        <x:v>1</x:v>
      </x:c>
      <x:c r="D52" s="3" t="str">
        <x:v>1普通 2精英</x:v>
      </x:c>
      <x:c r="E52" s="3" t="str">
        <x:v>试算</x:v>
      </x:c>
      <x:c r="F52" s="3" t="str">
        <x:v>改变三章第3层收入</x:v>
      </x:c>
      <x:c r="G52" s="3"/>
    </x:row>
    <x:row r="53">
      <x:c r="A53" s="3"/>
      <x:c r="B53" s="3"/>
      <x:c r="C53" s="3"/>
      <x:c r="D53" s="3"/>
      <x:c r="E53" s="3"/>
      <x:c r="F53" s="3"/>
      <x:c r="G53" s="3"/>
    </x:row>
    <x:row r="54">
      <x:c r="A54" s="3"/>
      <x:c r="B54" s="3"/>
      <x:c r="C54" s="3"/>
      <x:c r="D54" s="3"/>
      <x:c r="E54" s="3"/>
      <x:c r="F54" s="3"/>
      <x:c r="G54" s="3"/>
    </x:row>
    <x:row r="55">
      <x:c r="A55" s="3"/>
      <x:c r="B55" s="3"/>
      <x:c r="C55" s="3"/>
      <x:c r="D55" s="3"/>
      <x:c r="E55" s="3"/>
      <x:c r="F55" s="3"/>
      <x:c r="G55" s="3"/>
    </x:row>
    <x:row r="56">
      <x:c r="A56" s="3"/>
      <x:c r="B56" s="3"/>
      <x:c r="C56" s="3"/>
      <x:c r="D56" s="3"/>
      <x:c r="E56" s="3"/>
      <x:c r="F56" s="3"/>
      <x:c r="G56" s="3"/>
    </x:row>
    <x:row r="57">
      <x:c r="A57" s="3"/>
      <x:c r="B57" s="3"/>
      <x:c r="C57" s="3"/>
      <x:c r="D57" s="3"/>
      <x:c r="E57" s="3"/>
      <x:c r="F57" s="3"/>
      <x:c r="G57" s="3"/>
    </x:row>
    <x:row r="58">
      <x:c r="A58" s="3"/>
      <x:c r="B58" s="3"/>
      <x:c r="C58" s="3"/>
      <x:c r="D58" s="3"/>
      <x:c r="E58" s="3"/>
      <x:c r="F58" s="3"/>
      <x:c r="G58" s="3"/>
    </x:row>
  </x:sheetData>
  <x:mergeCells>
    <x:mergeCell ref="A2:F2"/>
  </x:mergeCells>
  <x:dataValidations count="6">
    <x:dataValidation type="list" sqref="B5:B8">
      <x:formula1>"SK,ZM,HR,HD,BL,CF"</x:formula1>
    </x:dataValidation>
    <x:dataValidation type="whole" errorStyle="stop" operator="between" showErrorMessage="1" errorTitle="输入超出范围" error="请输入2至10之间的整数。" sqref="C5:C8">
      <x:formula1>2</x:formula1>
      <x:formula2>10</x:formula2>
    </x:dataValidation>
    <x:dataValidation type="whole" errorStyle="stop" operator="between" showErrorMessage="1" errorTitle="输入超出范围" error="请输入0至3之间的整数。" sqref="C51">
      <x:formula1>0</x:formula1>
      <x:formula2>3</x:formula2>
    </x:dataValidation>
    <x:dataValidation type="whole" errorStyle="stop" operator="between" showErrorMessage="1" errorTitle="输入超出范围" error="请输入1至2之间的整数。" sqref="C52">
      <x:formula1>1</x:formula1>
      <x:formula2>2</x:formula2>
    </x:dataValidation>
    <x:dataValidation type="whole" errorStyle="stop" operator="between" showErrorMessage="1" errorTitle="输入超出范围" error="请输入0至300之间的整数。" sqref="C49">
      <x:formula1>0</x:formula1>
      <x:formula2>300</x:formula2>
    </x:dataValidation>
    <x:dataValidation type="whole" errorStyle="stop" operator="between" showErrorMessage="1" errorTitle="输入超出范围" error="请输入1至8之间的整数。" sqref="C50">
      <x:formula1>1</x:formula1>
      <x:formula2>8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.889999389648438" hidden="0" customWidth="1"/>
    <x:col min="2" max="2" width="14.4399995803833" hidden="0" customWidth="1"/>
    <x:col min="3" max="3" width="17.780000686645508" hidden="0" customWidth="1"/>
    <x:col min="4" max="4" width="18.889999389648438" hidden="0" customWidth="1"/>
    <x:col min="5" max="5" width="36.66999816894531" hidden="0" customWidth="1"/>
    <x:col min="6" max="6" width="43.33000183105469" hidden="0" customWidth="1"/>
  </x:cols>
  <x:sheetData>
    <x:row r="1">
      <x:c r="A1" s="3"/>
      <x:c r="B1" s="3"/>
      <x:c r="C1" s="3"/>
      <x:c r="D1" s="3"/>
      <x:c r="E1" s="3"/>
      <x:c r="F1" s="3"/>
    </x:row>
    <x:row r="2" ht="30" customHeight="1">
      <x:c r="A2" s="5" t="str">
        <x:v>士兵基础属性统一定义</x:v>
      </x:c>
      <x:c r="B2" s="4"/>
      <x:c r="C2" s="4"/>
      <x:c r="D2" s="4"/>
      <x:c r="E2" s="4"/>
      <x:c r="F2" s="4"/>
    </x:row>
    <x:row r="3">
      <x:c r="A3" s="3"/>
      <x:c r="B3" s="3"/>
      <x:c r="C3" s="3"/>
      <x:c r="D3" s="3"/>
      <x:c r="E3" s="3"/>
      <x:c r="F3" s="3"/>
    </x:row>
    <x:row r="4" ht="36" customHeight="1">
      <x:c r="A4" s="10" t="str">
        <x:v>属性ID</x:v>
      </x:c>
      <x:c r="B4" s="10" t="str">
        <x:v>名称</x:v>
      </x:c>
      <x:c r="C4" s="10" t="str">
        <x:v>单位</x:v>
      </x:c>
      <x:c r="D4" s="10" t="str">
        <x:v>允许范围</x:v>
      </x:c>
      <x:c r="E4" s="10" t="str">
        <x:v>作用</x:v>
      </x:c>
      <x:c r="F4" s="10" t="str">
        <x:v>结算规则</x:v>
      </x:c>
    </x:row>
    <x:row r="5" ht="27" customHeight="1">
      <x:c r="A5" s="3" t="str">
        <x:v>HP</x:v>
      </x:c>
      <x:c r="B5" s="3" t="str">
        <x:v>生命</x:v>
      </x:c>
      <x:c r="C5" s="3" t="str">
        <x:v>点</x:v>
      </x:c>
      <x:c r="D5" s="3" t="str">
        <x:v>大于0</x:v>
      </x:c>
      <x:c r="E5" s="3" t="str">
        <x:v>训练与出生职业共同决定</x:v>
      </x:c>
      <x:c r="F5" s="3" t="str">
        <x:v>归零进入倒地流程</x:v>
      </x:c>
    </x:row>
    <x:row r="6" ht="27" customHeight="1">
      <x:c r="A6" s="11" t="str">
        <x:v>ATK</x:v>
      </x:c>
      <x:c r="B6" s="11" t="str">
        <x:v>攻击力</x:v>
      </x:c>
      <x:c r="C6" s="11" t="str">
        <x:v>点</x:v>
      </x:c>
      <x:c r="D6" s="11" t="str">
        <x:v>大于0</x:v>
      </x:c>
      <x:c r="E6" s="11" t="str">
        <x:v>所有有攻击倍率的技能以此为基数</x:v>
      </x:c>
      <x:c r="F6" s="11" t="str">
        <x:v>普攻伤害与技能伤害分开标记</x:v>
      </x:c>
    </x:row>
    <x:row r="7" ht="27" customHeight="1">
      <x:c r="A7" s="3" t="str">
        <x:v>ARMOR</x:v>
      </x:c>
      <x:c r="B7" s="3" t="str">
        <x:v>护甲</x:v>
      </x:c>
      <x:c r="C7" s="3" t="str">
        <x:v>点</x:v>
      </x:c>
      <x:c r="D7" s="3" t="str">
        <x:v>0至300</x:v>
      </x:c>
      <x:c r="E7" s="3" t="str">
        <x:v>仅减免物理伤害</x:v>
      </x:c>
      <x:c r="F7" s="3" t="str">
        <x:v>负甲按0计算 不另设魔抗</x:v>
      </x:c>
    </x:row>
    <x:row r="8" ht="27" customHeight="1">
      <x:c r="A8" s="11" t="str">
        <x:v>APS</x:v>
      </x:c>
      <x:c r="B8" s="11" t="str">
        <x:v>攻击速度</x:v>
      </x:c>
      <x:c r="C8" s="11" t="str">
        <x:v>次每秒</x:v>
      </x:c>
      <x:c r="D8" s="11" t="str">
        <x:v>0.25至4</x:v>
      </x:c>
      <x:c r="E8" s="11" t="str">
        <x:v>攻击间隔等于1除以攻速</x:v>
      </x:c>
      <x:c r="F8" s="11" t="str">
        <x:v>技能冷却不会因攻速自动变快</x:v>
      </x:c>
    </x:row>
    <x:row r="9" ht="27" customHeight="1">
      <x:c r="A9" s="3" t="str">
        <x:v>MOVE</x:v>
      </x:c>
      <x:c r="B9" s="3" t="str">
        <x:v>移动速度</x:v>
      </x:c>
      <x:c r="C9" s="3" t="str">
        <x:v>米每秒</x:v>
      </x:c>
      <x:c r="D9" s="3" t="str">
        <x:v>0至6</x:v>
      </x:c>
      <x:c r="E9" s="3" t="str">
        <x:v>寻找目标和保持射程</x:v>
      </x:c>
      <x:c r="F9" s="3" t="str">
        <x:v>冲锋位移不自动算普通移动触发</x:v>
      </x:c>
    </x:row>
    <x:row r="10" ht="27" customHeight="1">
      <x:c r="A10" s="11" t="str">
        <x:v>RANGE</x:v>
      </x:c>
      <x:c r="B10" s="11" t="str">
        <x:v>普攻射程</x:v>
      </x:c>
      <x:c r="C10" s="11" t="str">
        <x:v>米</x:v>
      </x:c>
      <x:c r="D10" s="11" t="str">
        <x:v>0.6至8</x:v>
      </x:c>
      <x:c r="E10" s="11" t="str">
        <x:v>到目标中心的距离</x:v>
      </x:c>
      <x:c r="F10" s="11" t="str">
        <x:v>单位碰撞半径单独处理</x:v>
      </x:c>
    </x:row>
    <x:row r="11" ht="27" customHeight="1">
      <x:c r="A11" s="3" t="str">
        <x:v>CRIT_RATE</x:v>
      </x:c>
      <x:c r="B11" s="3" t="str">
        <x:v>暴击率</x:v>
      </x:c>
      <x:c r="C11" s="3" t="str">
        <x:v>比例</x:v>
      </x:c>
      <x:c r="D11" s="3" t="str">
        <x:v>0至0.8</x:v>
      </x:c>
      <x:c r="E11" s="3" t="str">
        <x:v>独立直接伤害判定</x:v>
      </x:c>
      <x:c r="F11" s="3" t="str">
        <x:v>持续伤害和反伤默认不暴击</x:v>
      </x:c>
    </x:row>
    <x:row r="12" ht="27" customHeight="1">
      <x:c r="A12" s="11" t="str">
        <x:v>CRIT_MULT</x:v>
      </x:c>
      <x:c r="B12" s="11" t="str">
        <x:v>暴击倍率</x:v>
      </x:c>
      <x:c r="C12" s="11" t="str">
        <x:v>倍</x:v>
      </x:c>
      <x:c r="D12" s="11" t="str">
        <x:v>1.5至3</x:v>
      </x:c>
      <x:c r="E12" s="11" t="str">
        <x:v>发生暴击时放大直接伤害</x:v>
      </x:c>
      <x:c r="F12" s="11" t="str">
        <x:v>暴击伤害加成加在倍率上</x:v>
      </x:c>
    </x:row>
    <x:row r="13" ht="27" customHeight="1">
      <x:c r="A13" s="3" t="str">
        <x:v>REGEN</x:v>
      </x:c>
      <x:c r="B13" s="3" t="str">
        <x:v>再生</x:v>
      </x:c>
      <x:c r="C13" s="3" t="str">
        <x:v>最大生命比例每秒</x:v>
      </x:c>
      <x:c r="D13" s="3" t="str">
        <x:v>0至0.05</x:v>
      </x:c>
      <x:c r="E13" s="3" t="str">
        <x:v>只对活着的单位生效</x:v>
      </x:c>
      <x:c r="F13" s="3" t="str">
        <x:v>实际恢复产生EFFECTIVE_HEAL 每秒至多一次</x:v>
      </x:c>
    </x:row>
    <x:row r="14" ht="27" customHeight="1">
      <x:c r="A14" s="11" t="str">
        <x:v>BLOCK_RATE</x:v>
      </x:c>
      <x:c r="B14" s="11" t="str">
        <x:v>格挡率</x:v>
      </x:c>
      <x:c r="C14" s="11" t="str">
        <x:v>比例</x:v>
      </x:c>
      <x:c r="D14" s="11" t="str">
        <x:v>0至0.65</x:v>
      </x:c>
      <x:c r="E14" s="11" t="str">
        <x:v>直接物理和法术受击时判定</x:v>
      </x:c>
      <x:c r="F14" s="11" t="str">
        <x:v>对持续伤害和真实伤害不生效</x:v>
      </x:c>
    </x:row>
    <x:row r="15" ht="27" customHeight="1">
      <x:c r="A15" s="3" t="str">
        <x:v>BLOCK_REDUCTION</x:v>
      </x:c>
      <x:c r="B15" s="3" t="str">
        <x:v>格挡减伤</x:v>
      </x:c>
      <x:c r="C15" s="3" t="str">
        <x:v>比例</x:v>
      </x:c>
      <x:c r="D15" s="3" t="str">
        <x:v>0至0.7</x:v>
      </x:c>
      <x:c r="E15" s="3" t="str">
        <x:v>成功格挡后削减本次伤害</x:v>
      </x:c>
      <x:c r="F15" s="3" t="str">
        <x:v>在暴击之后 护甲之前</x:v>
      </x:c>
    </x:row>
    <x:row r="16" ht="27" customHeight="1">
      <x:c r="A16" s="11" t="str">
        <x:v>LIFESTEAL</x:v>
      </x:c>
      <x:c r="B16" s="11" t="str">
        <x:v>吸血</x:v>
      </x:c>
      <x:c r="C16" s="11" t="str">
        <x:v>比例</x:v>
      </x:c>
      <x:c r="D16" s="11" t="str">
        <x:v>0至0.3</x:v>
      </x:c>
      <x:c r="E16" s="11" t="str">
        <x:v>直接伤害实际扣掉的生命乘比例</x:v>
      </x:c>
      <x:c r="F16" s="11" t="str">
        <x:v>技能需标记可吸血 反伤毒伤不吸血</x:v>
      </x:c>
    </x:row>
    <x:row r="17" ht="27" customHeight="1">
      <x:c r="A17" s="3" t="str">
        <x:v>SHIELD</x:v>
      </x:c>
      <x:c r="B17" s="3" t="str">
        <x:v>护盾</x:v>
      </x:c>
      <x:c r="C17" s="3" t="str">
        <x:v>点</x:v>
      </x:c>
      <x:c r="D17" s="3" t="str">
        <x:v>至多最大生命60%</x:v>
      </x:c>
      <x:c r="E17" s="3" t="str">
        <x:v>先于生命吸收伤害</x:v>
      </x:c>
      <x:c r="F17" s="3" t="str">
        <x:v>骨甲和骨盾均是护盾的美术名称</x:v>
      </x:c>
    </x:row>
    <x:row r="18" ht="27" customHeight="1">
      <x:c r="A18" s="11" t="str">
        <x:v>POISON</x:v>
      </x:c>
      <x:c r="B18" s="11" t="str">
        <x:v>中毒</x:v>
      </x:c>
      <x:c r="C18" s="11" t="str">
        <x:v>层</x:v>
      </x:c>
      <x:c r="D18" s="11" t="str">
        <x:v>基础上限20</x:v>
      </x:c>
      <x:c r="E18" s="11" t="str">
        <x:v>每层固定0.6法术伤害每秒</x:v>
      </x:c>
      <x:c r="F18" s="11" t="str">
        <x:v>同来源刷新 不同来源分开记账 共享层上限</x:v>
      </x:c>
    </x:row>
    <x:row r="19" ht="27" customHeight="1">
      <x:c r="A19" s="3" t="str">
        <x:v>TENACITY</x:v>
      </x:c>
      <x:c r="B19" s="3" t="str">
        <x:v>控制抗性</x:v>
      </x:c>
      <x:c r="C19" s="3" t="str">
        <x:v>比例</x:v>
      </x:c>
      <x:c r="D19" s="3" t="str">
        <x:v>0至0.6</x:v>
      </x:c>
      <x:c r="E19" s="3" t="str">
        <x:v>缩短定身眩晕恐惧的持续时间</x:v>
      </x:c>
      <x:c r="F19" s="3" t="str">
        <x:v>首领固定50%并有控制间隔保护</x:v>
      </x:c>
    </x:row>
    <x:row r="20" ht="27" customHeight="1">
      <x:c r="A20" s="11" t="str">
        <x:v>PENETRATION</x:v>
      </x:c>
      <x:c r="B20" s="11" t="str">
        <x:v>物理穿透</x:v>
      </x:c>
      <x:c r="C20" s="11" t="str">
        <x:v>点</x:v>
      </x:c>
      <x:c r="D20" s="11" t="str">
        <x:v>0至目标护甲</x:v>
      </x:c>
      <x:c r="E20" s="11" t="str">
        <x:v>护甲计算前扣除</x:v>
      </x:c>
      <x:c r="F20" s="11" t="str">
        <x:v>基础为0 仅少数技能或遗物提供</x:v>
      </x:c>
    </x:row>
    <x:row r="21">
      <x:c r="A21" s="3"/>
      <x:c r="B21" s="3"/>
      <x:c r="C21" s="3"/>
      <x:c r="D21" s="3"/>
      <x:c r="E21" s="3"/>
      <x:c r="F21" s="3"/>
    </x:row>
    <x:row r="22">
      <x:c r="A22" s="3"/>
      <x:c r="B22" s="3"/>
      <x:c r="C22" s="3"/>
      <x:c r="D22" s="3"/>
      <x:c r="E22" s="3"/>
      <x:c r="F22" s="3"/>
    </x:row>
    <x:row r="23">
      <x:c r="A23" s="3"/>
      <x:c r="B23" s="3"/>
      <x:c r="C23" s="3"/>
      <x:c r="D23" s="3"/>
      <x:c r="E23" s="3"/>
      <x:c r="F23" s="3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09e16ac1b5f0461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109999656677246" hidden="0" customWidth="1"/>
    <x:col min="2" max="2" width="17.780000686645508" hidden="0" customWidth="1"/>
    <x:col min="3" max="3" width="94.44000244140625" hidden="0" customWidth="1"/>
  </x:cols>
  <x:sheetData>
    <x:row r="1">
      <x:c r="A1" s="3"/>
      <x:c r="B1" s="3"/>
      <x:c r="C1" s="3"/>
    </x:row>
    <x:row r="2" ht="30" customHeight="1">
      <x:c r="A2" s="5" t="str">
        <x:v>跨模块固定规则</x:v>
      </x:c>
      <x:c r="B2" s="4"/>
      <x:c r="C2" s="4"/>
    </x:row>
    <x:row r="3">
      <x:c r="A3" s="3"/>
      <x:c r="B3" s="3"/>
      <x:c r="C3" s="3"/>
    </x:row>
    <x:row r="4" ht="36" customHeight="1">
      <x:c r="A4" s="10" t="str">
        <x:v>规则ID</x:v>
      </x:c>
      <x:c r="B4" s="10" t="str">
        <x:v>主题</x:v>
      </x:c>
      <x:c r="C4" s="10" t="str">
        <x:v>规则</x:v>
      </x:c>
    </x:row>
    <x:row r="5" ht="27" customHeight="1">
      <x:c r="A5" s="3" t="str">
        <x:v>C01</x:v>
      </x:c>
      <x:c r="B5" s="3" t="str">
        <x:v>玩家阵营</x:v>
      </x:c>
      <x:c r="C5" s="3" t="str">
        <x:v>法师 士兵 友方商贩均为骷髅 丧尸 幽灵或其造物。骑手和坐骑均为死灵。活人只存在于敌方。</x:v>
      </x:c>
    </x:row>
    <x:row r="6" ht="27" customHeight="1">
      <x:c r="A6" s="11" t="str">
        <x:v>C02</x:v>
      </x:c>
      <x:c r="B6" s="11" t="str">
        <x:v>出生阶级</x:v>
      </x:c>
      <x:c r="C6" s="11" t="str">
        <x:v>R1普通 R2精英 R3统领 R4领主。出生阶级由最终中奖盘面或明确消耗品修正规则决定 永不由经验升级。</x:v>
      </x:c>
    </x:row>
    <x:row r="7" ht="27" customHeight="1">
      <x:c r="A7" s="3" t="str">
        <x:v>C03</x:v>
      </x:c>
      <x:c r="B7" s="3" t="str">
        <x:v>训练</x:v>
      </x:c>
      <x:c r="C7" s="3" t="str">
        <x:v>Lv1至Lv8只增强职业数值并在Lv4解锁一次二选一专精。每个职业从Lv1就有基础行为和被动。</x:v>
      </x:c>
    </x:row>
    <x:row r="8" ht="27" customHeight="1">
      <x:c r="A8" s="11" t="str">
        <x:v>C04</x:v>
      </x:c>
      <x:c r="B8" s="11" t="str">
        <x:v>召唤谱系</x:v>
      </x:c>
      <x:c r="C8" s="11" t="str">
        <x:v>同家族R2和R3各有A/B两个职业 收兵时选择。树上的高阶节点表示可召唤的更高底子而非XP晋升路线。</x:v>
      </x:c>
    </x:row>
    <x:row r="9" ht="27" customHeight="1">
      <x:c r="A9" s="3" t="str">
        <x:v>C05</x:v>
      </x:c>
      <x:c r="B9" s="3" t="str">
        <x:v>中奖</x:v>
      </x:c>
      <x:c r="C9" s="3" t="str">
        <x:v>九格独立抽样 三列依次停下。8线全部计入 同符号所有线合成只出一名该家族单位 不同符号分别结算。</x:v>
      </x:c>
    </x:row>
    <x:row r="10" ht="27" customHeight="1">
      <x:c r="A10" s="11" t="str">
        <x:v>C06</x:v>
      </x:c>
      <x:c r="B10" s="11" t="str">
        <x:v>多线</x:v>
      </x:c>
      <x:c r="C10" s="11" t="str">
        <x:v>1线R1 Lv1 2线R2 Lv1 3线R3 Lv1 4线R4 Lv1 5线R4 Lv3 6线R4 Lv5 8线R4 Lv8。不存在7线盘面。</x:v>
      </x:c>
    </x:row>
    <x:row r="11" ht="27" customHeight="1">
      <x:c r="A11" s="3" t="str">
        <x:v>C07</x:v>
      </x:c>
      <x:c r="B11" s="3" t="str">
        <x:v>抽取</x:v>
      </x:c>
      <x:c r="C11" s="3" t="str">
        <x:v>每波1次免费 付费追加基础上限3次费用3/5/8。遗物提高上限后第4/5次11/14。费用在抽取开始扣除。</x:v>
      </x:c>
    </x:row>
    <x:row r="12" ht="27" customHeight="1">
      <x:c r="A12" s="11" t="str">
        <x:v>C08</x:v>
      </x:c>
      <x:c r="B12" s="11" t="str">
        <x:v>改盘</x:v>
      </x:c>
      <x:c r="C12" s="11" t="str">
        <x:v>停轮后是预览阶段 尚未发兵。最多两次已解锁干预 再统一确认结算一次。不能领兵后重摇或回档重抽。</x:v>
      </x:c>
    </x:row>
    <x:row r="13" ht="27" customHeight="1">
      <x:c r="A13" s="3" t="str">
        <x:v>C09</x:v>
      </x:c>
      <x:c r="B13" s="3" t="str">
        <x:v>符号</x:v>
      </x:c>
      <x:c r="C13" s="3" t="str">
        <x:v>每局四个活跃家族 权重总20 每族2至10。更换家族继承原权重。已有单位不会随符号替换消失。</x:v>
      </x:c>
    </x:row>
    <x:row r="14" ht="27" customHeight="1">
      <x:c r="A14" s="11" t="str">
        <x:v>C10</x:v>
      </x:c>
      <x:c r="B14" s="11" t="str">
        <x:v>军队</x:v>
      </x:c>
      <x:c r="C14" s="11" t="str">
        <x:v>正式上阵6 后备6。招募结果进入临时招募区 开战前必须处理完 不会因满员自动销毁大奖。</x:v>
      </x:c>
    </x:row>
    <x:row r="15" ht="42" customHeight="1">
      <x:c r="A15" s="3" t="str">
        <x:v>C11</x:v>
      </x:c>
      <x:c r="B15" s="3" t="str">
        <x:v>献祭</x:v>
      </x:c>
      <x:c r="C15" s="3" t="str">
        <x:v>仅正式单位可在准备期被吸收。转移经验=阶级基础值加向下取整的75%已储存训练经验。阶级基础值2/5/12/25。供体删除 不能给自己献祭。</x:v>
      </x:c>
    </x:row>
    <x:row r="16" ht="42" customHeight="1">
      <x:c r="A16" s="11" t="str">
        <x:v>C12</x:v>
      </x:c>
      <x:c r="B16" s="11" t="str">
        <x:v>换壳</x:v>
      </x:c>
      <x:c r="C16" s="11" t="str">
        <x:v>同家族的更高阶身体可与旧核心合魂。只留下新身体 职业技能和裸值以新身体为准 训练经验取两者较大值 不额外加献祭收益。重新选择新职业的Lv4专精。</x:v>
      </x:c>
    </x:row>
    <x:row r="17" ht="27" customHeight="1">
      <x:c r="A17" s="3" t="str">
        <x:v>C13</x:v>
      </x:c>
      <x:c r="B17" s="3" t="str">
        <x:v>临时单位</x:v>
      </x:c>
      <x:c r="C17" s="3" t="str">
        <x:v>战斗技能产生的单位波后清除 不能进入后备 不能献祭 不产永久骨头或训练经验 不留下可复活尸体。</x:v>
      </x:c>
    </x:row>
    <x:row r="18" ht="27" customHeight="1">
      <x:c r="A18" s="11" t="str">
        <x:v>C14</x:v>
      </x:c>
      <x:c r="B18" s="11" t="str">
        <x:v>死亡</x:v>
      </x:c>
      <x:c r="C18" s="11" t="str">
        <x:v>正式兵波后满血复起 永久保留职业和训练。管理献祭不触发死亡事件。法师受突破或超时压力扣命匣 不按友军死亡数计费。</x:v>
      </x:c>
    </x:row>
    <x:row r="19" ht="42" customHeight="1">
      <x:c r="A19" s="3" t="str">
        <x:v>C15</x:v>
      </x:c>
      <x:c r="B19" s="3" t="str">
        <x:v>占领</x:v>
      </x:c>
      <x:c r="C19" s="3" t="str">
        <x:v>敌方全部被击败或突破后离场且命匣大于0算过波。普通/精英任一波60秒超时按剩余威胁扣血并撤退 无本波、后续波和占领奖励 仍正常选下一层。首领任一波超时直接结束本局；末波必须击杀首领，首领突破同样败局。每波累计命匣伤害上限20。</x:v>
      </x:c>
    </x:row>
    <x:row r="20" ht="27" customHeight="1">
      <x:c r="A20" s="11" t="str">
        <x:v>C16</x:v>
      </x:c>
      <x:c r="B20" s="11" t="str">
        <x:v>骨头</x:v>
      </x:c>
      <x:c r="C20" s="11" t="str">
        <x:v>每波为固定遭遇预算 部分以击杀动画分配 通关/结算支付余量。召唤敌人和复活敌人不另产钱 每个波次只结算一次。</x:v>
      </x:c>
    </x:row>
    <x:row r="21" ht="27" customHeight="1">
      <x:c r="A21" s="3" t="str">
        <x:v>C17</x:v>
      </x:c>
      <x:c r="B21" s="3" t="str">
        <x:v>遗物</x:v>
      </x:c>
      <x:c r="C21" s="3" t="str">
        <x:v>机器槽2至4 军团被动最多6。节点进入后配置锁定 直到节点完成或撤退；不允许先赌装抽再战装打。替换遗物无退款。</x:v>
      </x:c>
    </x:row>
    <x:row r="22" ht="27" customHeight="1">
      <x:c r="A22" s="11" t="str">
        <x:v>C18</x:v>
      </x:c>
      <x:c r="B22" s="11" t="str">
        <x:v>路线</x:v>
      </x:c>
      <x:c r="C22" s="11" t="str">
        <x:v>三章每章五层：普通战 服务分叉 普通/精英分叉 事件/工坊分叉 城池首领。正常通关15节点27波。</x:v>
      </x:c>
    </x:row>
    <x:row r="23" ht="27" customHeight="1">
      <x:c r="A23" s="3" t="str">
        <x:v>C19</x:v>
      </x:c>
      <x:c r="B23" s="3" t="str">
        <x:v>边界</x:v>
      </x:c>
      <x:c r="C23" s="3" t="str">
        <x:v>本版本不做多人 PvP 实时微操 网格式逐格寻路 全元素地表互相覆盖 装备耐久 独立装备词条。</x:v>
      </x:c>
    </x:row>
    <x:row r="24">
      <x:c r="A24" s="3"/>
      <x:c r="B24" s="3"/>
      <x:c r="C24" s="3"/>
    </x:row>
    <x:row r="25">
      <x:c r="A25" s="3"/>
      <x:c r="B25" s="3"/>
      <x:c r="C25" s="3"/>
    </x:row>
    <x:row r="26">
      <x:c r="A26" s="3"/>
      <x:c r="B26" s="3"/>
      <x:c r="C26" s="3"/>
    </x:row>
  </x:sheetData>
  <x:mergeCells>
    <x:mergeCell ref="A2:C2"/>
  </x:mergeCells>
  <x:pageMargins left="0.7" right="0.7" top="0.75" bottom="0.75" header="0.3" footer="0.3"/>
  <x:tableParts count="1">
    <x:tablePart xmlns:r="http://schemas.openxmlformats.org/officeDocument/2006/relationships" r:id="R43ca7ea56b7a47b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45.560001373291016" hidden="0" customWidth="1"/>
  </x:cols>
  <x:sheetData>
    <x:row r="1">
      <x:c r="A1" s="3"/>
      <x:c r="B1" s="3"/>
      <x:c r="C1" s="3"/>
      <x:c r="D1" s="3"/>
      <x:c r="E1" s="3"/>
      <x:c r="F1" s="3"/>
    </x:row>
    <x:row r="2" ht="30" customHeight="1">
      <x:c r="A2" s="5" t="str">
        <x:v>训练经验门槛与固定出生阶级</x:v>
      </x:c>
      <x:c r="B2" s="4"/>
      <x:c r="C2" s="4"/>
      <x:c r="D2" s="4"/>
      <x:c r="E2" s="4"/>
      <x:c r="F2" s="4"/>
    </x:row>
    <x:row r="3">
      <x:c r="A3" s="4" t="str">
        <x:v>献祭XP=供体阶级基础(2/5/12/25)+floor(供体XP×75%)；换壳则取两者XP较大值，不重复加献祭收益。</x:v>
      </x:c>
      <x:c r="B3" s="3"/>
      <x:c r="C3" s="3"/>
      <x:c r="D3" s="3"/>
      <x:c r="E3" s="3"/>
      <x:c r="F3" s="3"/>
    </x:row>
    <x:row r="4" ht="36" customHeight="1">
      <x:c r="A4" s="10" t="str">
        <x:v>等级</x:v>
      </x:c>
      <x:c r="B4" s="10" t="str">
        <x:v>累计经验</x:v>
      </x:c>
      <x:c r="C4" s="10" t="str">
        <x:v>生命倍率</x:v>
      </x:c>
      <x:c r="D4" s="10" t="str">
        <x:v>攻击倍率</x:v>
      </x:c>
      <x:c r="E4" s="10" t="str">
        <x:v>护甲增加</x:v>
      </x:c>
      <x:c r="F4" s="10" t="str">
        <x:v>专精规则</x:v>
      </x:c>
    </x:row>
    <x:row r="5" ht="27" customHeight="1">
      <x:c r="A5" s="12" t="n">
        <x:v>1</x:v>
      </x:c>
      <x:c r="B5" s="12" t="n">
        <x:v>0</x:v>
      </x:c>
      <x:c r="C5" s="12" t="n">
        <x:f>1+'参数'!$C$19*(A5-1)</x:f>
        <x:v>1</x:v>
      </x:c>
      <x:c r="D5" s="12" t="n">
        <x:f>1+'参数'!$C$20*(A5-1)</x:f>
        <x:v>1</x:v>
      </x:c>
      <x:c r="E5" s="12" t="n">
        <x:f>'参数'!$C$21*(A5-1)</x:f>
        <x:v>0</x:v>
      </x:c>
      <x:c r="F5" s="3" t="str">
        <x:v>未解锁</x:v>
      </x:c>
    </x:row>
    <x:row r="6" ht="27" customHeight="1">
      <x:c r="A6" s="13" t="n">
        <x:v>2</x:v>
      </x:c>
      <x:c r="B6" s="13" t="n">
        <x:v>6</x:v>
      </x:c>
      <x:c r="C6" s="13" t="n">
        <x:f>1+'参数'!$C$19*(A6-1)</x:f>
        <x:v>1.08</x:v>
      </x:c>
      <x:c r="D6" s="13" t="n">
        <x:f>1+'参数'!$C$20*(A6-1)</x:f>
        <x:v>1.06</x:v>
      </x:c>
      <x:c r="E6" s="13" t="n">
        <x:f>'参数'!$C$21*(A6-1)</x:f>
        <x:v>2</x:v>
      </x:c>
      <x:c r="F6" s="11" t="str">
        <x:v>未解锁</x:v>
      </x:c>
    </x:row>
    <x:row r="7" ht="27" customHeight="1">
      <x:c r="A7" s="12" t="n">
        <x:v>3</x:v>
      </x:c>
      <x:c r="B7" s="12" t="n">
        <x:v>16</x:v>
      </x:c>
      <x:c r="C7" s="12" t="n">
        <x:f>1+'参数'!$C$19*(A7-1)</x:f>
        <x:v>1.16</x:v>
      </x:c>
      <x:c r="D7" s="12" t="n">
        <x:f>1+'参数'!$C$20*(A7-1)</x:f>
        <x:v>1.12</x:v>
      </x:c>
      <x:c r="E7" s="12" t="n">
        <x:f>'参数'!$C$21*(A7-1)</x:f>
        <x:v>4</x:v>
      </x:c>
      <x:c r="F7" s="3" t="str">
        <x:v>未解锁</x:v>
      </x:c>
    </x:row>
    <x:row r="8" ht="27" customHeight="1">
      <x:c r="A8" s="13" t="n">
        <x:v>4</x:v>
      </x:c>
      <x:c r="B8" s="13" t="n">
        <x:v>30</x:v>
      </x:c>
      <x:c r="C8" s="13" t="n">
        <x:f>1+'参数'!$C$19*(A8-1)</x:f>
        <x:v>1.24</x:v>
      </x:c>
      <x:c r="D8" s="13" t="n">
        <x:f>1+'参数'!$C$20*(A8-1)</x:f>
        <x:v>1.18</x:v>
      </x:c>
      <x:c r="E8" s="13" t="n">
        <x:f>'参数'!$C$21*(A8-1)</x:f>
        <x:v>6</x:v>
      </x:c>
      <x:c r="F8" s="11" t="str">
        <x:v>二选一职业专精</x:v>
      </x:c>
    </x:row>
    <x:row r="9" ht="27" customHeight="1">
      <x:c r="A9" s="12" t="n">
        <x:v>5</x:v>
      </x:c>
      <x:c r="B9" s="12" t="n">
        <x:v>50</x:v>
      </x:c>
      <x:c r="C9" s="12" t="n">
        <x:f>1+'参数'!$C$19*(A9-1)</x:f>
        <x:v>1.32</x:v>
      </x:c>
      <x:c r="D9" s="12" t="n">
        <x:f>1+'参数'!$C$20*(A9-1)</x:f>
        <x:v>1.24</x:v>
      </x:c>
      <x:c r="E9" s="12" t="n">
        <x:f>'参数'!$C$21*(A9-1)</x:f>
        <x:v>8</x:v>
      </x:c>
      <x:c r="F9" s="3" t="str">
        <x:v>保持已选专精；出生阶级不变</x:v>
      </x:c>
    </x:row>
    <x:row r="10" ht="27" customHeight="1">
      <x:c r="A10" s="13" t="n">
        <x:v>6</x:v>
      </x:c>
      <x:c r="B10" s="13" t="n">
        <x:v>76</x:v>
      </x:c>
      <x:c r="C10" s="13" t="n">
        <x:f>1+'参数'!$C$19*(A10-1)</x:f>
        <x:v>1.4</x:v>
      </x:c>
      <x:c r="D10" s="13" t="n">
        <x:f>1+'参数'!$C$20*(A10-1)</x:f>
        <x:v>1.3</x:v>
      </x:c>
      <x:c r="E10" s="13" t="n">
        <x:f>'参数'!$C$21*(A10-1)</x:f>
        <x:v>10</x:v>
      </x:c>
      <x:c r="F10" s="11" t="str">
        <x:v>保持已选专精；出生阶级不变</x:v>
      </x:c>
    </x:row>
    <x:row r="11" ht="42" customHeight="1">
      <x:c r="A11" s="12" t="n">
        <x:v>7</x:v>
      </x:c>
      <x:c r="B11" s="12" t="n">
        <x:v>110</x:v>
      </x:c>
      <x:c r="C11" s="12" t="n">
        <x:f>1+'参数'!$C$19*(A11-1)</x:f>
        <x:v>1.48</x:v>
      </x:c>
      <x:c r="D11" s="12" t="n">
        <x:f>1+'参数'!$C$20*(A11-1)</x:f>
        <x:v>1.3599999999999999</x:v>
      </x:c>
      <x:c r="E11" s="12" t="n">
        <x:f>'参数'!$C$21*(A11-1)</x:f>
        <x:v>12</x:v>
      </x:c>
      <x:c r="F11" s="3" t="str">
        <x:v>保持已选专精；出生阶级不变</x:v>
      </x:c>
    </x:row>
    <x:row r="12" ht="27" customHeight="1">
      <x:c r="A12" s="13" t="n">
        <x:v>8</x:v>
      </x:c>
      <x:c r="B12" s="13" t="n">
        <x:v>150</x:v>
      </x:c>
      <x:c r="C12" s="13" t="n">
        <x:f>1+'参数'!$C$19*(A12-1)</x:f>
        <x:v>1.56</x:v>
      </x:c>
      <x:c r="D12" s="13" t="n">
        <x:f>1+'参数'!$C$20*(A12-1)</x:f>
        <x:v>1.42</x:v>
      </x:c>
      <x:c r="E12" s="13" t="n">
        <x:f>'参数'!$C$21*(A12-1)</x:f>
        <x:v>14</x:v>
      </x:c>
      <x:c r="F12" s="11" t="str">
        <x:v>保持已选专精；出生阶级不变</x:v>
      </x:c>
    </x:row>
    <x:row r="13">
      <x:c r="A13" s="3"/>
      <x:c r="B13" s="3"/>
      <x:c r="C13" s="3"/>
      <x:c r="D13" s="3"/>
      <x:c r="E13" s="3"/>
      <x:c r="F13" s="3"/>
    </x:row>
    <x:row r="14">
      <x:c r="A14" s="3"/>
      <x:c r="B14" s="3"/>
      <x:c r="C14" s="3"/>
      <x:c r="D14" s="3"/>
      <x:c r="E14" s="3"/>
      <x:c r="F14" s="3"/>
    </x:row>
    <x:row r="15">
      <x:c r="A15" s="3"/>
      <x:c r="B15" s="3"/>
      <x:c r="C15" s="3"/>
      <x:c r="D15" s="3"/>
      <x:c r="E15" s="3"/>
      <x:c r="F15" s="3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99469d919ca24dd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.219999313354492" hidden="0" customWidth="1"/>
    <x:col min="2" max="2" width="36.66999816894531" hidden="0" customWidth="1"/>
    <x:col min="3" max="3" width="70" hidden="0" customWidth="1"/>
  </x:cols>
  <x:sheetData>
    <x:row r="1">
      <x:c r="A1" s="3"/>
      <x:c r="B1" s="3"/>
      <x:c r="C1" s="3"/>
    </x:row>
    <x:row r="2" ht="30" customHeight="1">
      <x:c r="A2" s="5" t="str">
        <x:v>技能共享事件与防循环规则</x:v>
      </x:c>
      <x:c r="B2" s="4"/>
      <x:c r="C2" s="4"/>
    </x:row>
    <x:row r="3">
      <x:c r="A3" s="3"/>
      <x:c r="B3" s="3"/>
      <x:c r="C3" s="3"/>
    </x:row>
    <x:row r="4" ht="36" customHeight="1">
      <x:c r="A4" s="10" t="str">
        <x:v>事件ID</x:v>
      </x:c>
      <x:c r="B4" s="10" t="str">
        <x:v>发生条件</x:v>
      </x:c>
      <x:c r="C4" s="10" t="str">
        <x:v>处理限制</x:v>
      </x:c>
    </x:row>
    <x:row r="5" ht="72" customHeight="1">
      <x:c r="A5" s="3" t="str">
        <x:v>E00</x:v>
      </x:c>
      <x:c r="B5" s="3" t="str">
        <x:v>所有兵种技能共用传播限制</x:v>
      </x:c>
      <x:c r="C5" s="3" t="str">
        <x:v>仅文字指定事件触发；BASIC_HIT仅普攻有效命中。未明确允许的技能伤害默认不暴击、不生成BASIC_HIT/DIRECT_CRIT；其他有效事件可触发，但同一事件ID每技能仅结算一次。所有衍生事件保留cause_chain_id；同一因果链不得重复触发同一单位实例的同一效果ID。护盾到期不发SHIELD_BREAK，临时兵到期不发ALLY_KO，战外抽兵与管理献祭不发战斗事件。</x:v>
      </x:c>
    </x:row>
    <x:row r="6" ht="27" customHeight="1">
      <x:c r="A6" s="11" t="str">
        <x:v>BASIC_HIT</x:v>
      </x:c>
      <x:c r="B6" s="11" t="str">
        <x:v>一次普通攻击有效命中</x:v>
      </x:c>
      <x:c r="C6" s="11" t="str">
        <x:v>每次普通攻击对主目标只发一次；顺劈旁支不再次算普攻命中</x:v>
      </x:c>
    </x:row>
    <x:row r="7" ht="27" customHeight="1">
      <x:c r="A7" s="3" t="str">
        <x:v>DIRECT_CRIT</x:v>
      </x:c>
      <x:c r="B7" s="3" t="str">
        <x:v>可暴击直接伤害发生暴击</x:v>
      </x:c>
      <x:c r="C7" s="3" t="str">
        <x:v>技能须显式允许；持续伤害 反伤 事件派生伤害默认不发送</x:v>
      </x:c>
    </x:row>
    <x:row r="8" ht="27" customHeight="1">
      <x:c r="A8" s="11" t="str">
        <x:v>DAMAGE_TAKEN</x:v>
      </x:c>
      <x:c r="B8" s="11" t="str">
        <x:v>伤害结算后实际受到损伤</x:v>
      </x:c>
      <x:c r="C8" s="11" t="str">
        <x:v>只在实际生命伤害大于0时发送；仍附带护盾伤害供日志。纯打盾不发送</x:v>
      </x:c>
    </x:row>
    <x:row r="9" ht="27" customHeight="1">
      <x:c r="A9" s="3" t="str">
        <x:v>EFFECTIVE_HEAL</x:v>
      </x:c>
      <x:c r="B9" s="3" t="str">
        <x:v>实际恢复生命</x:v>
      </x:c>
      <x:c r="C9" s="3" t="str">
        <x:v>满血治疗为0不触发；转移生命/均分生命不是治疗</x:v>
      </x:c>
    </x:row>
    <x:row r="10" ht="27" customHeight="1">
      <x:c r="A10" s="11" t="str">
        <x:v>SHIELD_GAIN</x:v>
      </x:c>
      <x:c r="B10" s="11" t="str">
        <x:v>实际增加护盾</x:v>
      </x:c>
      <x:c r="C10" s="11" t="str">
        <x:v>超过护盾上限的溢出不发事件；同一效果刷新时间不算新增</x:v>
      </x:c>
    </x:row>
    <x:row r="11" ht="27" customHeight="1">
      <x:c r="A11" s="3" t="str">
        <x:v>SHIELD_BREAK</x:v>
      </x:c>
      <x:c r="B11" s="3" t="str">
        <x:v>伤害将正值护盾打到0</x:v>
      </x:c>
      <x:c r="C11" s="3" t="str">
        <x:v>自然到期 移除和管理操作不算打破</x:v>
      </x:c>
    </x:row>
    <x:row r="12" ht="27" customHeight="1">
      <x:c r="A12" s="11" t="str">
        <x:v>SUMMON</x:v>
      </x:c>
      <x:c r="B12" s="11" t="str">
        <x:v>临时召唤成功落地</x:v>
      </x:c>
      <x:c r="C12" s="11" t="str">
        <x:v>达到上限未生成不发送；老虎机正式招募不属于战内SUMMON</x:v>
      </x:c>
    </x:row>
    <x:row r="13" ht="27" customHeight="1">
      <x:c r="A13" s="3" t="str">
        <x:v>ALLY_KO</x:v>
      </x:c>
      <x:c r="B13" s="3" t="str">
        <x:v>一个友军本次生命归零且完成倒地</x:v>
      </x:c>
      <x:c r="C13" s="3" t="str">
        <x:v>同一生命只发一次；被致死保护救回不发；战内复活后可再次但受来源内置间隔</x:v>
      </x:c>
    </x:row>
    <x:row r="14" ht="27" customHeight="1">
      <x:c r="A14" s="11" t="str">
        <x:v>ENEMY_KO</x:v>
      </x:c>
      <x:c r="B14" s="11" t="str">
        <x:v>敌人首次或再次倒地</x:v>
      </x:c>
      <x:c r="C14" s="11" t="str">
        <x:v>事件包含原生/召唤/复活标记；永久奖励仅原生首次</x:v>
      </x:c>
    </x:row>
    <x:row r="15" ht="27" customHeight="1">
      <x:c r="A15" s="3" t="str">
        <x:v>CORPSE_CONSUME</x:v>
      </x:c>
      <x:c r="B15" s="3" t="str">
        <x:v>一个可用尸骸被消耗</x:v>
      </x:c>
      <x:c r="C15" s="3" t="str">
        <x:v>原子抢占 一具尸体只能给一个消费者；最近优先 距离并列按出生序号</x:v>
      </x:c>
    </x:row>
    <x:row r="16" ht="27" customHeight="1">
      <x:c r="A16" s="11" t="str">
        <x:v>POISON_TICK</x:v>
      </x:c>
      <x:c r="B16" s="11" t="str">
        <x:v>中毒结算一次</x:v>
      </x:c>
      <x:c r="C16" s="11" t="str">
        <x:v>不会触发普攻 暴击和吸血；可由明确指定遗物监听</x:v>
      </x:c>
    </x:row>
    <x:row r="17" ht="27" customHeight="1">
      <x:c r="A17" s="3" t="str">
        <x:v>TAUNT</x:v>
      </x:c>
      <x:c r="B17" s="3" t="str">
        <x:v>新嘲讽成功施加</x:v>
      </x:c>
      <x:c r="C17" s="3" t="str">
        <x:v>刷新同目标同来源不算新的TAUNT</x:v>
      </x:c>
    </x:row>
    <x:row r="18" ht="27" customHeight="1">
      <x:c r="A18" s="11" t="str">
        <x:v>DASH_END</x:v>
      </x:c>
      <x:c r="B18" s="11" t="str">
        <x:v>一次冲锋完成</x:v>
      </x:c>
      <x:c r="C18" s="11" t="str">
        <x:v>被中断不发送完成；同一次冲锋最多一次</x:v>
      </x:c>
    </x:row>
    <x:row r="19">
      <x:c r="A19" s="3"/>
      <x:c r="B19" s="3"/>
      <x:c r="C19" s="3"/>
    </x:row>
    <x:row r="20">
      <x:c r="A20" s="3"/>
      <x:c r="B20" s="3"/>
      <x:c r="C20" s="3"/>
    </x:row>
    <x:row r="21">
      <x:c r="A21" s="3"/>
      <x:c r="B21" s="3"/>
      <x:c r="C21" s="3"/>
    </x:row>
  </x:sheetData>
  <x:mergeCells>
    <x:mergeCell ref="A2:C2"/>
  </x:mergeCells>
  <x:pageMargins left="0.7" right="0.7" top="0.75" bottom="0.75" header="0.3" footer="0.3"/>
  <x:tableParts count="1">
    <x:tablePart xmlns:r="http://schemas.openxmlformats.org/officeDocument/2006/relationships" r:id="R17a73d26dad94d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5" t="str">
        <x:v>修改九格符号 查看同族多线合并结果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3"/>
      <x:c r="B4" s="3"/>
      <x:c r="C4" s="3"/>
      <x:c r="D4" s="3"/>
      <x:c r="E4" s="3"/>
      <x:c r="F4" s="3" t="str">
        <x:v>中奖线</x:v>
      </x:c>
      <x:c r="G4" s="3" t="str">
        <x:v>中奖家族</x:v>
      </x:c>
      <x:c r="H4" s="3"/>
      <x:c r="I4" s="3"/>
      <x:c r="J4" s="3"/>
      <x:c r="K4" s="3"/>
      <x:c r="L4" s="3"/>
    </x:row>
    <x:row r="5" ht="42" customHeight="1">
      <x:c r="A5" s="3"/>
      <x:c r="B5" s="25" t="str">
        <x:v>SK</x:v>
      </x:c>
      <x:c r="C5" s="25" t="str">
        <x:v>SK</x:v>
      </x:c>
      <x:c r="D5" s="25" t="str">
        <x:v>SK</x:v>
      </x:c>
      <x:c r="E5" s="3"/>
      <x:c r="F5" s="3" t="str">
        <x:v>横1</x:v>
      </x:c>
      <x:c r="G5" s="3" t="str">
        <x:f>IF(AND(B5=C5,C5=D5),B5,"")</x:f>
        <x:v>SK</x:v>
      </x:c>
      <x:c r="H5" s="3"/>
      <x:c r="I5" s="3"/>
      <x:c r="J5" s="3"/>
      <x:c r="K5" s="3"/>
      <x:c r="L5" s="3"/>
    </x:row>
    <x:row r="6" ht="42" customHeight="1">
      <x:c r="A6" s="3"/>
      <x:c r="B6" s="25" t="str">
        <x:v>SK</x:v>
      </x:c>
      <x:c r="C6" s="25" t="str">
        <x:v>SK</x:v>
      </x:c>
      <x:c r="D6" s="25" t="str">
        <x:v>SK</x:v>
      </x:c>
      <x:c r="E6" s="3"/>
      <x:c r="F6" s="3" t="str">
        <x:v>横2</x:v>
      </x:c>
      <x:c r="G6" s="3" t="str">
        <x:f>IF(AND(B6=C6,C6=D6),B6,"")</x:f>
        <x:v>SK</x:v>
      </x:c>
      <x:c r="H6" s="3"/>
      <x:c r="I6" s="3"/>
      <x:c r="J6" s="3"/>
      <x:c r="K6" s="3"/>
      <x:c r="L6" s="3"/>
    </x:row>
    <x:row r="7" ht="42" customHeight="1">
      <x:c r="A7" s="3"/>
      <x:c r="B7" s="25" t="str">
        <x:v>ZM</x:v>
      </x:c>
      <x:c r="C7" s="25" t="str">
        <x:v>SK</x:v>
      </x:c>
      <x:c r="D7" s="25" t="str">
        <x:v>HR</x:v>
      </x:c>
      <x:c r="E7" s="3"/>
      <x:c r="F7" s="3" t="str">
        <x:v>横3</x:v>
      </x:c>
      <x:c r="G7" s="3" t="str">
        <x:f>IF(AND(B7=C7,C7=D7),B7,"")</x:f>
      </x:c>
      <x:c r="H7" s="3"/>
      <x:c r="I7" s="3"/>
      <x:c r="J7" s="3"/>
      <x:c r="K7" s="3"/>
      <x:c r="L7" s="3"/>
    </x:row>
    <x:row r="8">
      <x:c r="A8" s="3"/>
      <x:c r="B8" s="3"/>
      <x:c r="C8" s="3"/>
      <x:c r="D8" s="3"/>
      <x:c r="E8" s="3"/>
      <x:c r="F8" s="3" t="str">
        <x:v>竖1</x:v>
      </x:c>
      <x:c r="G8" s="3" t="str">
        <x:f>IF(AND(B5=B6,B6=B7),B5,"")</x:f>
      </x:c>
      <x:c r="H8" s="3"/>
      <x:c r="I8" s="3"/>
      <x:c r="J8" s="3"/>
      <x:c r="K8" s="3"/>
      <x:c r="L8" s="3"/>
    </x:row>
    <x:row r="9">
      <x:c r="A9" s="3"/>
      <x:c r="B9" s="3"/>
      <x:c r="C9" s="3"/>
      <x:c r="D9" s="3"/>
      <x:c r="E9" s="3"/>
      <x:c r="F9" s="3" t="str">
        <x:v>竖2</x:v>
      </x:c>
      <x:c r="G9" s="3" t="str">
        <x:f>IF(AND(C5=C6,C6=C7),C5,"")</x:f>
        <x:v>SK</x:v>
      </x:c>
      <x:c r="H9" s="3"/>
      <x:c r="I9" s="3"/>
      <x:c r="J9" s="3"/>
      <x:c r="K9" s="3"/>
      <x:c r="L9" s="3"/>
    </x:row>
    <x:row r="10">
      <x:c r="A10" s="3"/>
      <x:c r="B10" s="3"/>
      <x:c r="C10" s="3"/>
      <x:c r="D10" s="3"/>
      <x:c r="E10" s="3"/>
      <x:c r="F10" s="3" t="str">
        <x:v>竖3</x:v>
      </x:c>
      <x:c r="G10" s="3" t="str">
        <x:f>IF(AND(D5=D6,D6=D7),D5,"")</x:f>
      </x:c>
      <x:c r="H10" s="3"/>
      <x:c r="I10" s="3"/>
      <x:c r="J10" s="3"/>
      <x:c r="K10" s="3"/>
      <x:c r="L10" s="3"/>
    </x:row>
    <x:row r="11">
      <x:c r="A11" s="3"/>
      <x:c r="B11" s="3"/>
      <x:c r="C11" s="3"/>
      <x:c r="D11" s="3"/>
      <x:c r="E11" s="3"/>
      <x:c r="F11" s="3" t="str">
        <x:v>斜1</x:v>
      </x:c>
      <x:c r="G11" s="3" t="str">
        <x:f>IF(AND(B5=C6,C6=D7),B5,"")</x:f>
      </x:c>
      <x:c r="H11" s="3"/>
      <x:c r="I11" s="3"/>
      <x:c r="J11" s="3"/>
      <x:c r="K11" s="3"/>
      <x:c r="L11" s="3"/>
    </x:row>
    <x:row r="12">
      <x:c r="A12" s="3"/>
      <x:c r="B12" s="3"/>
      <x:c r="C12" s="3"/>
      <x:c r="D12" s="3"/>
      <x:c r="E12" s="3"/>
      <x:c r="F12" s="3" t="str">
        <x:v>斜2</x:v>
      </x:c>
      <x:c r="G12" s="3" t="str">
        <x:f>IF(AND(D5=C6,C6=B7),D5,"")</x:f>
      </x:c>
      <x:c r="H12" s="3"/>
      <x:c r="I12" s="3"/>
      <x:c r="J12" s="3"/>
      <x:c r="K12" s="3"/>
      <x:c r="L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>
      <x:c r="A15" s="3" t="str">
        <x:v>家族</x:v>
      </x:c>
      <x:c r="B15" s="3" t="str">
        <x:v>中奖线数</x:v>
      </x:c>
      <x:c r="C15" s="3" t="str">
        <x:v>产兵数量</x:v>
      </x:c>
      <x:c r="D15" s="3" t="str">
        <x:v>出生阶级</x:v>
      </x:c>
      <x:c r="E15" s="3" t="str">
        <x:v>出生训练级</x:v>
      </x:c>
      <x:c r="F15" s="3"/>
      <x:c r="G15" s="3"/>
      <x:c r="H15" s="3"/>
      <x:c r="I15" s="3"/>
      <x:c r="J15" s="3"/>
      <x:c r="K15" s="3"/>
      <x:c r="L15" s="3"/>
    </x:row>
    <x:row r="16">
      <x:c r="A16" s="3" t="str">
        <x:v>SK</x:v>
      </x:c>
      <x:c r="B16" s="3" t="n">
        <x:f>COUNTIFS($G$5:$G$12,A16)</x:f>
        <x:v>3</x:v>
      </x:c>
      <x:c r="C16" s="3" t="n">
        <x:f>IF(B16&gt;0,1,0)</x:f>
        <x:v>1</x:v>
      </x:c>
      <x:c r="D16" s="3" t="n">
        <x:f>IF(B16=0,0,MIN(B16,4))</x:f>
        <x:v>3</x:v>
      </x:c>
      <x:c r="E16" s="3" t="n">
        <x:f>IF(B16=0,0,IF(B16=8,8,IF(B16=6,5,IF(B16=5,3,1))))</x:f>
        <x:v>1</x:v>
      </x:c>
      <x:c r="F16" s="3"/>
      <x:c r="G16" s="3"/>
      <x:c r="H16" s="3"/>
      <x:c r="I16" s="3"/>
      <x:c r="J16" s="3"/>
      <x:c r="K16" s="3"/>
      <x:c r="L16" s="3"/>
    </x:row>
    <x:row r="17">
      <x:c r="A17" s="3" t="str">
        <x:v>ZM</x:v>
      </x:c>
      <x:c r="B17" s="3" t="n">
        <x:f>COUNTIFS($G$5:$G$12,A17)</x:f>
        <x:v>0</x:v>
      </x:c>
      <x:c r="C17" s="3" t="n">
        <x:f>IF(B17&gt;0,1,0)</x:f>
        <x:v>0</x:v>
      </x:c>
      <x:c r="D17" s="3" t="n">
        <x:f>IF(B17=0,0,MIN(B17,4))</x:f>
        <x:v>0</x:v>
      </x:c>
      <x:c r="E17" s="3" t="n">
        <x:f>IF(B17=0,0,IF(B17=8,8,IF(B17=6,5,IF(B17=5,3,1))))</x:f>
        <x:v>0</x:v>
      </x:c>
      <x:c r="F17" s="3"/>
      <x:c r="G17" s="3"/>
      <x:c r="H17" s="3"/>
      <x:c r="I17" s="3"/>
      <x:c r="J17" s="3"/>
      <x:c r="K17" s="3"/>
      <x:c r="L17" s="3"/>
    </x:row>
    <x:row r="18">
      <x:c r="A18" s="3" t="str">
        <x:v>HR</x:v>
      </x:c>
      <x:c r="B18" s="3" t="n">
        <x:f>COUNTIFS($G$5:$G$12,A18)</x:f>
        <x:v>0</x:v>
      </x:c>
      <x:c r="C18" s="3" t="n">
        <x:f>IF(B18&gt;0,1,0)</x:f>
        <x:v>0</x:v>
      </x:c>
      <x:c r="D18" s="3" t="n">
        <x:f>IF(B18=0,0,MIN(B18,4))</x:f>
        <x:v>0</x:v>
      </x:c>
      <x:c r="E18" s="3" t="n">
        <x:f>IF(B18=0,0,IF(B18=8,8,IF(B18=6,5,IF(B18=5,3,1))))</x:f>
        <x:v>0</x:v>
      </x:c>
      <x:c r="F18" s="3"/>
      <x:c r="G18" s="3"/>
      <x:c r="H18" s="3"/>
      <x:c r="I18" s="3"/>
      <x:c r="J18" s="3"/>
      <x:c r="K18" s="3"/>
      <x:c r="L18" s="3"/>
    </x:row>
    <x:row r="19">
      <x:c r="A19" s="3" t="str">
        <x:v>HD</x:v>
      </x:c>
      <x:c r="B19" s="3" t="n">
        <x:f>COUNTIFS($G$5:$G$12,A19)</x:f>
        <x:v>0</x:v>
      </x:c>
      <x:c r="C19" s="3" t="n">
        <x:f>IF(B19&gt;0,1,0)</x:f>
        <x:v>0</x:v>
      </x:c>
      <x:c r="D19" s="3" t="n">
        <x:f>IF(B19=0,0,MIN(B19,4))</x:f>
        <x:v>0</x:v>
      </x:c>
      <x:c r="E19" s="3" t="n">
        <x:f>IF(B19=0,0,IF(B19=8,8,IF(B19=6,5,IF(B19=5,3,1))))</x:f>
        <x:v>0</x:v>
      </x:c>
      <x:c r="F19" s="3"/>
      <x:c r="G19" s="3"/>
      <x:c r="H19" s="3"/>
      <x:c r="I19" s="3"/>
      <x:c r="J19" s="3"/>
      <x:c r="K19" s="3"/>
      <x:c r="L19" s="3"/>
    </x:row>
    <x:row r="20">
      <x:c r="A20" s="3" t="str">
        <x:v>BL</x:v>
      </x:c>
      <x:c r="B20" s="3" t="n">
        <x:f>COUNTIFS($G$5:$G$12,A20)</x:f>
        <x:v>0</x:v>
      </x:c>
      <x:c r="C20" s="3" t="n">
        <x:f>IF(B20&gt;0,1,0)</x:f>
        <x:v>0</x:v>
      </x:c>
      <x:c r="D20" s="3" t="n">
        <x:f>IF(B20=0,0,MIN(B20,4))</x:f>
        <x:v>0</x:v>
      </x:c>
      <x:c r="E20" s="3" t="n">
        <x:f>IF(B20=0,0,IF(B20=8,8,IF(B20=6,5,IF(B20=5,3,1))))</x:f>
        <x:v>0</x:v>
      </x:c>
      <x:c r="F20" s="3"/>
      <x:c r="G20" s="3"/>
      <x:c r="H20" s="3"/>
      <x:c r="I20" s="3"/>
      <x:c r="J20" s="3"/>
      <x:c r="K20" s="3"/>
      <x:c r="L20" s="3"/>
    </x:row>
    <x:row r="21">
      <x:c r="A21" s="3" t="str">
        <x:v>CF</x:v>
      </x:c>
      <x:c r="B21" s="3" t="n">
        <x:f>COUNTIFS($G$5:$G$12,A21)</x:f>
        <x:v>0</x:v>
      </x:c>
      <x:c r="C21" s="3" t="n">
        <x:f>IF(B21&gt;0,1,0)</x:f>
        <x:v>0</x:v>
      </x:c>
      <x:c r="D21" s="3" t="n">
        <x:f>IF(B21=0,0,MIN(B21,4))</x:f>
        <x:v>0</x:v>
      </x:c>
      <x:c r="E21" s="3" t="n">
        <x:f>IF(B21=0,0,IF(B21=8,8,IF(B21=6,5,IF(B21=5,3,1))))</x:f>
        <x:v>0</x:v>
      </x:c>
      <x:c r="F21" s="3"/>
      <x:c r="G21" s="3"/>
      <x:c r="H21" s="3"/>
      <x:c r="I21" s="3"/>
      <x:c r="J21" s="3"/>
      <x:c r="K21" s="3"/>
      <x:c r="L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>
      <x:c r="A23" s="4" t="str">
        <x:v>默认盘面 两横一竖 共三线 只出一名R3</x:v>
      </x:c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</x:sheetData>
  <x:mergeCells>
    <x:mergeCell ref="A2:F2"/>
  </x:mergeCells>
  <x:dataValidations count="1">
    <x:dataValidation type="list" sqref="B5:D7">
      <x:formula1>"SK,ZM,HR,HD,BL,CF"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.219999313354492" hidden="0" customWidth="1"/>
    <x:col min="2" max="2" width="18.329999923706055" hidden="0" customWidth="1"/>
    <x:col min="3" max="3" width="45.560001373291016" hidden="0" customWidth="1"/>
  </x:cols>
  <x:sheetData>
    <x:row r="1">
      <x:c r="A1" s="3"/>
      <x:c r="B1" s="3"/>
      <x:c r="C1" s="3"/>
    </x:row>
    <x:row r="2" ht="30" customHeight="1">
      <x:c r="A2" s="5" t="str">
        <x:v>当前权重下的基础中奖分布</x:v>
      </x:c>
      <x:c r="B2" s="4"/>
      <x:c r="C2" s="4"/>
    </x:row>
    <x:row r="3">
      <x:c r="A3" s="3"/>
      <x:c r="B3" s="3"/>
      <x:c r="C3" s="3"/>
    </x:row>
    <x:row r="4" ht="36" customHeight="1">
      <x:c r="A4" s="10" t="str">
        <x:v>指标</x:v>
      </x:c>
      <x:c r="B4" s="10" t="str">
        <x:v>计算值</x:v>
      </x:c>
      <x:c r="C4" s="10" t="str">
        <x:v>口径</x:v>
      </x:c>
    </x:row>
    <x:row r="5" ht="27" customHeight="1">
      <x:c r="A5" s="3" t="str">
        <x:v>权重合法性</x:v>
      </x:c>
      <x:c r="B5" s="3" t="str">
        <x:f>'参数'!B10</x:f>
        <x:v>有效</x:v>
      </x:c>
      <x:c r="C5" s="3" t="str">
        <x:v>四族不同，总权重20，每族2至10</x:v>
      </x:c>
    </x:row>
    <x:row r="6" ht="27" customHeight="1">
      <x:c r="A6" s="11" t="str">
        <x:v>概率质量合计</x:v>
      </x:c>
      <x:c r="B6" s="20" t="n">
        <x:f>SUM('概率模式'!M5:M224)</x:f>
        <x:v>1</x:v>
      </x:c>
      <x:c r="C6" s="11" t="str">
        <x:v>应为1</x:v>
      </x:c>
    </x:row>
    <x:row r="7" ht="27" customHeight="1">
      <x:c r="A7" s="3" t="str">
        <x:v>至少中奖概率</x:v>
      </x:c>
      <x:c r="B7" s="21" t="n">
        <x:f>SUM('概率模式'!N5:N224)</x:f>
        <x:v>0.410125732421875</x:v>
      </x:c>
      <x:c r="C7" s="3" t="str">
        <x:v>最终至少有一条线</x:v>
      </x:c>
    </x:row>
    <x:row r="8" ht="27" customHeight="1">
      <x:c r="A8" s="11" t="str">
        <x:v>每盘平均R1数</x:v>
      </x:c>
      <x:c r="B8" s="22" t="n">
        <x:f>SUM('概率模式'!O5:O224)</x:f>
        <x:v>0.369140625</x:v>
      </x:c>
      <x:c r="C8" s="11" t="str">
        <x:v>每个符号压成一兵后</x:v>
      </x:c>
    </x:row>
    <x:row r="9" ht="27" customHeight="1">
      <x:c r="A9" s="3" t="str">
        <x:v>每盘平均R2数</x:v>
      </x:c>
      <x:c r="B9" s="23" t="n">
        <x:f>SUM('概率模式'!P5:P224)</x:f>
        <x:v>0.04669189453125</x:v>
      </x:c>
      <x:c r="C9" s="3" t="str">
        <x:v>恰好两条同符号线</x:v>
      </x:c>
    </x:row>
    <x:row r="10" ht="27" customHeight="1">
      <x:c r="A10" s="11" t="str">
        <x:v>每盘平均R3数</x:v>
      </x:c>
      <x:c r="B10" s="22" t="n">
        <x:f>SUM('概率模式'!Q5:Q224)</x:f>
        <x:v>0.009063720703125</x:v>
      </x:c>
      <x:c r="C10" s="11" t="str">
        <x:v>恰好三条同符号线</x:v>
      </x:c>
    </x:row>
    <x:row r="11" ht="27" customHeight="1">
      <x:c r="A11" s="3" t="str">
        <x:v>每盘平均R4数</x:v>
      </x:c>
      <x:c r="B11" s="23" t="n">
        <x:f>SUM('概率模式'!R5:R224)</x:f>
        <x:v>0.002349853515625</x:v>
      </x:c>
      <x:c r="C11" s="3" t="str">
        <x:v>四条及以上同符号线</x:v>
      </x:c>
    </x:row>
    <x:row r="12" ht="27" customHeight="1">
      <x:c r="A12" s="11" t="str">
        <x:v>每盘平均总兵数</x:v>
      </x:c>
      <x:c r="B12" s="22" t="n">
        <x:f>SUM('概率模式'!S5:S224)</x:f>
        <x:v>0.42724609375</x:v>
      </x:c>
      <x:c r="C12" s="11" t="str">
        <x:v>最多三个不同家族同时产兵</x:v>
      </x:c>
    </x:row>
    <x:row r="13" ht="27" customHeight="1">
      <x:c r="A13" s="3" t="str">
        <x:v>每10盘平均兵数</x:v>
      </x:c>
      <x:c r="B13" s="23" t="n">
        <x:f>B12*10</x:f>
        <x:v>4.2724609375</x:v>
      </x:c>
      <x:c r="C13" s="3" t="str">
        <x:v>期望不是保底</x:v>
      </x:c>
    </x:row>
    <x:row r="14">
      <x:c r="A14" s="3"/>
      <x:c r="B14" s="3"/>
      <x:c r="C14" s="3"/>
    </x:row>
    <x:row r="15">
      <x:c r="A15" s="3"/>
      <x:c r="B15" s="3"/>
      <x:c r="C15" s="3"/>
    </x:row>
    <x:row r="16">
      <x:c r="A16" s="3"/>
      <x:c r="B16" s="3"/>
      <x:c r="C16" s="3"/>
    </x:row>
  </x:sheetData>
  <x:mergeCells>
    <x:mergeCell ref="A2:C2"/>
  </x:mergeCells>
  <x:pageMargins left="0.7" right="0.7" top="0.75" bottom="0.75" header="0.3" footer="0.3"/>
  <x:tableParts count="1">
    <x:tablePart xmlns:r="http://schemas.openxmlformats.org/officeDocument/2006/relationships" r:id="Ra7211b4d59574ef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109999656677246" hidden="0" customWidth="1"/>
    <x:col min="2" max="2" width="8.890000343322754" hidden="0" customWidth="1"/>
    <x:col min="3" max="3" width="9.4399995803833" hidden="0" customWidth="1"/>
    <x:col min="4" max="4" width="12.220000267028809" hidden="0" customWidth="1"/>
    <x:col min="5" max="5" width="10" hidden="0" customWidth="1"/>
    <x:col min="6" max="6" width="14.4399995803833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13.329999923706055" hidden="0" customWidth="1"/>
    <x:col min="11" max="11" width="16.110000610351562" hidden="0" customWidth="1"/>
    <x:col min="12" max="12" width="13.329999923706055" hidden="0" customWidth="1"/>
    <x:col min="13" max="13" width="14.4399995803833" hidden="0" customWidth="1"/>
    <x:col min="14" max="14" width="16.67000007629394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5" t="str">
        <x:v>27波全胜路径骨头收支计划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4" t="str">
        <x:v>黄色服务支出可改。支付检查按战前余额计算，不允许用尚未获得的战利品下注。本表不模拟战斗胜率。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6" customHeight="1">
      <x:c r="A4" s="10" t="str">
        <x:v>全局波</x:v>
      </x:c>
      <x:c r="B4" s="10" t="str">
        <x:v>章节</x:v>
      </x:c>
      <x:c r="C4" s="10" t="str">
        <x:v>路线层</x:v>
      </x:c>
      <x:c r="D4" s="10" t="str">
        <x:v>节点ID</x:v>
      </x:c>
      <x:c r="E4" s="10" t="str">
        <x:v>节点波</x:v>
      </x:c>
      <x:c r="F4" s="10" t="str">
        <x:v>准备期余额</x:v>
      </x:c>
      <x:c r="G4" s="10" t="str">
        <x:v>本波收入</x:v>
      </x:c>
      <x:c r="H4" s="10" t="str">
        <x:v>占领收入</x:v>
      </x:c>
      <x:c r="I4" s="10" t="str">
        <x:v>追加次数</x:v>
      </x:c>
      <x:c r="J4" s="10" t="str">
        <x:v>抽取支出</x:v>
      </x:c>
      <x:c r="K4" s="10" t="str">
        <x:v>节点服务支出</x:v>
      </x:c>
      <x:c r="L4" s="10" t="str">
        <x:v>本波净额</x:v>
      </x:c>
      <x:c r="M4" s="10" t="str">
        <x:v>期末骨头</x:v>
      </x:c>
      <x:c r="N4" s="10" t="str">
        <x:v>支付检查</x:v>
      </x:c>
    </x:row>
    <x:row r="5" ht="27" customHeight="1">
      <x:c r="A5" s="12" t="n">
        <x:v>1</x:v>
      </x:c>
      <x:c r="B5" s="12" t="n">
        <x:v>1</x:v>
      </x:c>
      <x:c r="C5" s="12" t="n">
        <x:v>1</x:v>
      </x:c>
      <x:c r="D5" s="3" t="str">
        <x:f>IF(C5=1,"N01",IF(C5=5,"N03",IF('参数'!$C$52=1,"N01","N02")))</x:f>
        <x:v>N01</x:v>
      </x:c>
      <x:c r="E5" s="12" t="n">
        <x:v>1</x:v>
      </x:c>
      <x:c r="F5" s="3" t="n">
        <x:f>'参数'!$C$13</x:f>
        <x:v>12</x:v>
      </x:c>
      <x:c r="G5" s="3" t="n">
        <x:f>SUMIFS('奖励规则'!$D$5:$D$13,'奖励规则'!$B$5:$B$13,B5,'奖励规则'!$C$5:$C$13,D5)</x:f>
        <x:v>4</x:v>
      </x:c>
      <x:c r="H5" s="3" t="n">
        <x:f>IF(E5=3,SUMIFS('奖励规则'!$E$5:$E$13,'奖励规则'!$B$5:$B$13,B5,'奖励规则'!$C$5:$C$13,D5),0)</x:f>
        <x:v>0</x:v>
      </x:c>
      <x:c r="I5" s="3" t="n">
        <x:f>'参数'!$C$51</x:f>
        <x:v>1</x:v>
      </x:c>
      <x:c r="J5" s="3" t="n">
        <x:f>IF(I5&gt;=1,'参数'!$C$28,0)+IF(I5&gt;=2,'参数'!$C$29,0)+IF(I5&gt;=3,'参数'!$C$30,0)</x:f>
        <x:v>3</x:v>
      </x:c>
      <x:c r="K5" s="26" t="n">
        <x:v>0</x:v>
      </x:c>
      <x:c r="L5" s="3" t="n">
        <x:f>G5+H5-J5-K5</x:f>
        <x:v>1</x:v>
      </x:c>
      <x:c r="M5" s="3" t="n">
        <x:f>F5+L5</x:f>
        <x:v>13</x:v>
      </x:c>
      <x:c r="N5" s="3" t="str">
        <x:f>IF(AND(F5&gt;=J5+K5,M5&gt;=0),"足够","不足")</x:f>
        <x:v>足够</x:v>
      </x:c>
    </x:row>
    <x:row r="6" ht="27" customHeight="1">
      <x:c r="A6" s="13" t="n">
        <x:v>2</x:v>
      </x:c>
      <x:c r="B6" s="13" t="n">
        <x:v>1</x:v>
      </x:c>
      <x:c r="C6" s="13" t="n">
        <x:v>1</x:v>
      </x:c>
      <x:c r="D6" s="11" t="str">
        <x:f>IF(C6=1,"N01",IF(C6=5,"N03",IF('参数'!$C$52=1,"N01","N02")))</x:f>
        <x:v>N01</x:v>
      </x:c>
      <x:c r="E6" s="13" t="n">
        <x:v>2</x:v>
      </x:c>
      <x:c r="F6" s="11" t="n">
        <x:f>M5</x:f>
        <x:v>13</x:v>
      </x:c>
      <x:c r="G6" s="11" t="n">
        <x:f>SUMIFS('奖励规则'!$D$5:$D$13,'奖励规则'!$B$5:$B$13,B6,'奖励规则'!$C$5:$C$13,D6)</x:f>
        <x:v>4</x:v>
      </x:c>
      <x:c r="H6" s="11" t="n">
        <x:f>IF(E6=3,SUMIFS('奖励规则'!$E$5:$E$13,'奖励规则'!$B$5:$B$13,B6,'奖励规则'!$C$5:$C$13,D6),0)</x:f>
        <x:v>0</x:v>
      </x:c>
      <x:c r="I6" s="11" t="n">
        <x:f>'参数'!$C$51</x:f>
        <x:v>1</x:v>
      </x:c>
      <x:c r="J6" s="11" t="n">
        <x:f>IF(I6&gt;=1,'参数'!$C$28,0)+IF(I6&gt;=2,'参数'!$C$29,0)+IF(I6&gt;=3,'参数'!$C$30,0)</x:f>
        <x:v>3</x:v>
      </x:c>
      <x:c r="K6" s="26" t="n">
        <x:v>0</x:v>
      </x:c>
      <x:c r="L6" s="11" t="n">
        <x:f>G6+H6-J6-K6</x:f>
        <x:v>1</x:v>
      </x:c>
      <x:c r="M6" s="11" t="n">
        <x:f>F6+L6</x:f>
        <x:v>14</x:v>
      </x:c>
      <x:c r="N6" s="11" t="str">
        <x:f>IF(AND(F6&gt;=J6+K6,M6&gt;=0),"足够","不足")</x:f>
        <x:v>足够</x:v>
      </x:c>
    </x:row>
    <x:row r="7" ht="27" customHeight="1">
      <x:c r="A7" s="12" t="n">
        <x:v>3</x:v>
      </x:c>
      <x:c r="B7" s="12" t="n">
        <x:v>1</x:v>
      </x:c>
      <x:c r="C7" s="12" t="n">
        <x:v>1</x:v>
      </x:c>
      <x:c r="D7" s="3" t="str">
        <x:f>IF(C7=1,"N01",IF(C7=5,"N03",IF('参数'!$C$52=1,"N01","N02")))</x:f>
        <x:v>N01</x:v>
      </x:c>
      <x:c r="E7" s="12" t="n">
        <x:v>3</x:v>
      </x:c>
      <x:c r="F7" s="3" t="n">
        <x:f>M6</x:f>
        <x:v>14</x:v>
      </x:c>
      <x:c r="G7" s="3" t="n">
        <x:f>SUMIFS('奖励规则'!$D$5:$D$13,'奖励规则'!$B$5:$B$13,B7,'奖励规则'!$C$5:$C$13,D7)</x:f>
        <x:v>4</x:v>
      </x:c>
      <x:c r="H7" s="3" t="n">
        <x:f>IF(E7=3,SUMIFS('奖励规则'!$E$5:$E$13,'奖励规则'!$B$5:$B$13,B7,'奖励规则'!$C$5:$C$13,D7),0)</x:f>
        <x:v>6</x:v>
      </x:c>
      <x:c r="I7" s="3" t="n">
        <x:f>'参数'!$C$51</x:f>
        <x:v>1</x:v>
      </x:c>
      <x:c r="J7" s="3" t="n">
        <x:f>IF(I7&gt;=1,'参数'!$C$28,0)+IF(I7&gt;=2,'参数'!$C$29,0)+IF(I7&gt;=3,'参数'!$C$30,0)</x:f>
        <x:v>3</x:v>
      </x:c>
      <x:c r="K7" s="26" t="n">
        <x:v>0</x:v>
      </x:c>
      <x:c r="L7" s="3" t="n">
        <x:f>G7+H7-J7-K7</x:f>
        <x:v>7</x:v>
      </x:c>
      <x:c r="M7" s="3" t="n">
        <x:f>F7+L7</x:f>
        <x:v>21</x:v>
      </x:c>
      <x:c r="N7" s="3" t="str">
        <x:f>IF(AND(F7&gt;=J7+K7,M7&gt;=0),"足够","不足")</x:f>
        <x:v>足够</x:v>
      </x:c>
    </x:row>
    <x:row r="8" ht="27" customHeight="1">
      <x:c r="A8" s="13" t="n">
        <x:v>4</x:v>
      </x:c>
      <x:c r="B8" s="13" t="n">
        <x:v>1</x:v>
      </x:c>
      <x:c r="C8" s="13" t="n">
        <x:v>3</x:v>
      </x:c>
      <x:c r="D8" s="11" t="str">
        <x:f>IF(C8=1,"N01",IF(C8=5,"N03",IF('参数'!$C$52=1,"N01","N02")))</x:f>
        <x:v>N01</x:v>
      </x:c>
      <x:c r="E8" s="13" t="n">
        <x:v>1</x:v>
      </x:c>
      <x:c r="F8" s="11" t="n">
        <x:f>M7</x:f>
        <x:v>21</x:v>
      </x:c>
      <x:c r="G8" s="11" t="n">
        <x:f>SUMIFS('奖励规则'!$D$5:$D$13,'奖励规则'!$B$5:$B$13,B8,'奖励规则'!$C$5:$C$13,D8)</x:f>
        <x:v>4</x:v>
      </x:c>
      <x:c r="H8" s="11" t="n">
        <x:f>IF(E8=3,SUMIFS('奖励规则'!$E$5:$E$13,'奖励规则'!$B$5:$B$13,B8,'奖励规则'!$C$5:$C$13,D8),0)</x:f>
        <x:v>0</x:v>
      </x:c>
      <x:c r="I8" s="11" t="n">
        <x:f>'参数'!$C$51</x:f>
        <x:v>1</x:v>
      </x:c>
      <x:c r="J8" s="11" t="n">
        <x:f>IF(I8&gt;=1,'参数'!$C$28,0)+IF(I8&gt;=2,'参数'!$C$29,0)+IF(I8&gt;=3,'参数'!$C$30,0)</x:f>
        <x:v>3</x:v>
      </x:c>
      <x:c r="K8" s="26" t="n">
        <x:v>0</x:v>
      </x:c>
      <x:c r="L8" s="11" t="n">
        <x:f>G8+H8-J8-K8</x:f>
        <x:v>1</x:v>
      </x:c>
      <x:c r="M8" s="11" t="n">
        <x:f>F8+L8</x:f>
        <x:v>22</x:v>
      </x:c>
      <x:c r="N8" s="11" t="str">
        <x:f>IF(AND(F8&gt;=J8+K8,M8&gt;=0),"足够","不足")</x:f>
        <x:v>足够</x:v>
      </x:c>
    </x:row>
    <x:row r="9" ht="27" customHeight="1">
      <x:c r="A9" s="12" t="n">
        <x:v>5</x:v>
      </x:c>
      <x:c r="B9" s="12" t="n">
        <x:v>1</x:v>
      </x:c>
      <x:c r="C9" s="12" t="n">
        <x:v>3</x:v>
      </x:c>
      <x:c r="D9" s="3" t="str">
        <x:f>IF(C9=1,"N01",IF(C9=5,"N03",IF('参数'!$C$52=1,"N01","N02")))</x:f>
        <x:v>N01</x:v>
      </x:c>
      <x:c r="E9" s="12" t="n">
        <x:v>2</x:v>
      </x:c>
      <x:c r="F9" s="3" t="n">
        <x:f>M8</x:f>
        <x:v>22</x:v>
      </x:c>
      <x:c r="G9" s="3" t="n">
        <x:f>SUMIFS('奖励规则'!$D$5:$D$13,'奖励规则'!$B$5:$B$13,B9,'奖励规则'!$C$5:$C$13,D9)</x:f>
        <x:v>4</x:v>
      </x:c>
      <x:c r="H9" s="3" t="n">
        <x:f>IF(E9=3,SUMIFS('奖励规则'!$E$5:$E$13,'奖励规则'!$B$5:$B$13,B9,'奖励规则'!$C$5:$C$13,D9),0)</x:f>
        <x:v>0</x:v>
      </x:c>
      <x:c r="I9" s="3" t="n">
        <x:f>'参数'!$C$51</x:f>
        <x:v>1</x:v>
      </x:c>
      <x:c r="J9" s="3" t="n">
        <x:f>IF(I9&gt;=1,'参数'!$C$28,0)+IF(I9&gt;=2,'参数'!$C$29,0)+IF(I9&gt;=3,'参数'!$C$30,0)</x:f>
        <x:v>3</x:v>
      </x:c>
      <x:c r="K9" s="26" t="n">
        <x:v>0</x:v>
      </x:c>
      <x:c r="L9" s="3" t="n">
        <x:f>G9+H9-J9-K9</x:f>
        <x:v>1</x:v>
      </x:c>
      <x:c r="M9" s="3" t="n">
        <x:f>F9+L9</x:f>
        <x:v>23</x:v>
      </x:c>
      <x:c r="N9" s="3" t="str">
        <x:f>IF(AND(F9&gt;=J9+K9,M9&gt;=0),"足够","不足")</x:f>
        <x:v>足够</x:v>
      </x:c>
    </x:row>
    <x:row r="10" ht="27" customHeight="1">
      <x:c r="A10" s="13" t="n">
        <x:v>6</x:v>
      </x:c>
      <x:c r="B10" s="13" t="n">
        <x:v>1</x:v>
      </x:c>
      <x:c r="C10" s="13" t="n">
        <x:v>3</x:v>
      </x:c>
      <x:c r="D10" s="11" t="str">
        <x:f>IF(C10=1,"N01",IF(C10=5,"N03",IF('参数'!$C$52=1,"N01","N02")))</x:f>
        <x:v>N01</x:v>
      </x:c>
      <x:c r="E10" s="13" t="n">
        <x:v>3</x:v>
      </x:c>
      <x:c r="F10" s="11" t="n">
        <x:f>M9</x:f>
        <x:v>23</x:v>
      </x:c>
      <x:c r="G10" s="11" t="n">
        <x:f>SUMIFS('奖励规则'!$D$5:$D$13,'奖励规则'!$B$5:$B$13,B10,'奖励规则'!$C$5:$C$13,D10)</x:f>
        <x:v>4</x:v>
      </x:c>
      <x:c r="H10" s="11" t="n">
        <x:f>IF(E10=3,SUMIFS('奖励规则'!$E$5:$E$13,'奖励规则'!$B$5:$B$13,B10,'奖励规则'!$C$5:$C$13,D10),0)</x:f>
        <x:v>6</x:v>
      </x:c>
      <x:c r="I10" s="11" t="n">
        <x:f>'参数'!$C$51</x:f>
        <x:v>1</x:v>
      </x:c>
      <x:c r="J10" s="11" t="n">
        <x:f>IF(I10&gt;=1,'参数'!$C$28,0)+IF(I10&gt;=2,'参数'!$C$29,0)+IF(I10&gt;=3,'参数'!$C$30,0)</x:f>
        <x:v>3</x:v>
      </x:c>
      <x:c r="K10" s="26" t="n">
        <x:v>0</x:v>
      </x:c>
      <x:c r="L10" s="11" t="n">
        <x:f>G10+H10-J10-K10</x:f>
        <x:v>7</x:v>
      </x:c>
      <x:c r="M10" s="11" t="n">
        <x:f>F10+L10</x:f>
        <x:v>30</x:v>
      </x:c>
      <x:c r="N10" s="11" t="str">
        <x:f>IF(AND(F10&gt;=J10+K10,M10&gt;=0),"足够","不足")</x:f>
        <x:v>足够</x:v>
      </x:c>
    </x:row>
    <x:row r="11" ht="27" customHeight="1">
      <x:c r="A11" s="12" t="n">
        <x:v>7</x:v>
      </x:c>
      <x:c r="B11" s="12" t="n">
        <x:v>1</x:v>
      </x:c>
      <x:c r="C11" s="12" t="n">
        <x:v>5</x:v>
      </x:c>
      <x:c r="D11" s="3" t="str">
        <x:f>IF(C11=1,"N01",IF(C11=5,"N03",IF('参数'!$C$52=1,"N01","N02")))</x:f>
        <x:v>N03</x:v>
      </x:c>
      <x:c r="E11" s="12" t="n">
        <x:v>1</x:v>
      </x:c>
      <x:c r="F11" s="3" t="n">
        <x:f>M10</x:f>
        <x:v>30</x:v>
      </x:c>
      <x:c r="G11" s="3" t="n">
        <x:f>SUMIFS('奖励规则'!$D$5:$D$13,'奖励规则'!$B$5:$B$13,B11,'奖励规则'!$C$5:$C$13,D11)</x:f>
        <x:v>6</x:v>
      </x:c>
      <x:c r="H11" s="3" t="n">
        <x:f>IF(E11=3,SUMIFS('奖励规则'!$E$5:$E$13,'奖励规则'!$B$5:$B$13,B11,'奖励规则'!$C$5:$C$13,D11),0)</x:f>
        <x:v>0</x:v>
      </x:c>
      <x:c r="I11" s="3" t="n">
        <x:f>'参数'!$C$51</x:f>
        <x:v>1</x:v>
      </x:c>
      <x:c r="J11" s="3" t="n">
        <x:f>IF(I11&gt;=1,'参数'!$C$28,0)+IF(I11&gt;=2,'参数'!$C$29,0)+IF(I11&gt;=3,'参数'!$C$30,0)</x:f>
        <x:v>3</x:v>
      </x:c>
      <x:c r="K11" s="26" t="n">
        <x:v>0</x:v>
      </x:c>
      <x:c r="L11" s="3" t="n">
        <x:f>G11+H11-J11-K11</x:f>
        <x:v>3</x:v>
      </x:c>
      <x:c r="M11" s="3" t="n">
        <x:f>F11+L11</x:f>
        <x:v>33</x:v>
      </x:c>
      <x:c r="N11" s="3" t="str">
        <x:f>IF(AND(F11&gt;=J11+K11,M11&gt;=0),"足够","不足")</x:f>
        <x:v>足够</x:v>
      </x:c>
    </x:row>
    <x:row r="12" ht="27" customHeight="1">
      <x:c r="A12" s="13" t="n">
        <x:v>8</x:v>
      </x:c>
      <x:c r="B12" s="13" t="n">
        <x:v>1</x:v>
      </x:c>
      <x:c r="C12" s="13" t="n">
        <x:v>5</x:v>
      </x:c>
      <x:c r="D12" s="11" t="str">
        <x:f>IF(C12=1,"N01",IF(C12=5,"N03",IF('参数'!$C$52=1,"N01","N02")))</x:f>
        <x:v>N03</x:v>
      </x:c>
      <x:c r="E12" s="13" t="n">
        <x:v>2</x:v>
      </x:c>
      <x:c r="F12" s="11" t="n">
        <x:f>M11</x:f>
        <x:v>33</x:v>
      </x:c>
      <x:c r="G12" s="11" t="n">
        <x:f>SUMIFS('奖励规则'!$D$5:$D$13,'奖励规则'!$B$5:$B$13,B12,'奖励规则'!$C$5:$C$13,D12)</x:f>
        <x:v>6</x:v>
      </x:c>
      <x:c r="H12" s="11" t="n">
        <x:f>IF(E12=3,SUMIFS('奖励规则'!$E$5:$E$13,'奖励规则'!$B$5:$B$13,B12,'奖励规则'!$C$5:$C$13,D12),0)</x:f>
        <x:v>0</x:v>
      </x:c>
      <x:c r="I12" s="11" t="n">
        <x:f>'参数'!$C$51</x:f>
        <x:v>1</x:v>
      </x:c>
      <x:c r="J12" s="11" t="n">
        <x:f>IF(I12&gt;=1,'参数'!$C$28,0)+IF(I12&gt;=2,'参数'!$C$29,0)+IF(I12&gt;=3,'参数'!$C$30,0)</x:f>
        <x:v>3</x:v>
      </x:c>
      <x:c r="K12" s="26" t="n">
        <x:v>0</x:v>
      </x:c>
      <x:c r="L12" s="11" t="n">
        <x:f>G12+H12-J12-K12</x:f>
        <x:v>3</x:v>
      </x:c>
      <x:c r="M12" s="11" t="n">
        <x:f>F12+L12</x:f>
        <x:v>36</x:v>
      </x:c>
      <x:c r="N12" s="11" t="str">
        <x:f>IF(AND(F12&gt;=J12+K12,M12&gt;=0),"足够","不足")</x:f>
        <x:v>足够</x:v>
      </x:c>
    </x:row>
    <x:row r="13" ht="27" customHeight="1">
      <x:c r="A13" s="12" t="n">
        <x:v>9</x:v>
      </x:c>
      <x:c r="B13" s="12" t="n">
        <x:v>1</x:v>
      </x:c>
      <x:c r="C13" s="12" t="n">
        <x:v>5</x:v>
      </x:c>
      <x:c r="D13" s="3" t="str">
        <x:f>IF(C13=1,"N01",IF(C13=5,"N03",IF('参数'!$C$52=1,"N01","N02")))</x:f>
        <x:v>N03</x:v>
      </x:c>
      <x:c r="E13" s="12" t="n">
        <x:v>3</x:v>
      </x:c>
      <x:c r="F13" s="3" t="n">
        <x:f>M12</x:f>
        <x:v>36</x:v>
      </x:c>
      <x:c r="G13" s="3" t="n">
        <x:f>SUMIFS('奖励规则'!$D$5:$D$13,'奖励规则'!$B$5:$B$13,B13,'奖励规则'!$C$5:$C$13,D13)</x:f>
        <x:v>6</x:v>
      </x:c>
      <x:c r="H13" s="3" t="n">
        <x:f>IF(E13=3,SUMIFS('奖励规则'!$E$5:$E$13,'奖励规则'!$B$5:$B$13,B13,'奖励规则'!$C$5:$C$13,D13),0)</x:f>
        <x:v>12</x:v>
      </x:c>
      <x:c r="I13" s="3" t="n">
        <x:f>'参数'!$C$51</x:f>
        <x:v>1</x:v>
      </x:c>
      <x:c r="J13" s="3" t="n">
        <x:f>IF(I13&gt;=1,'参数'!$C$28,0)+IF(I13&gt;=2,'参数'!$C$29,0)+IF(I13&gt;=3,'参数'!$C$30,0)</x:f>
        <x:v>3</x:v>
      </x:c>
      <x:c r="K13" s="26" t="n">
        <x:v>0</x:v>
      </x:c>
      <x:c r="L13" s="3" t="n">
        <x:f>G13+H13-J13-K13</x:f>
        <x:v>15</x:v>
      </x:c>
      <x:c r="M13" s="3" t="n">
        <x:f>F13+L13</x:f>
        <x:v>51</x:v>
      </x:c>
      <x:c r="N13" s="3" t="str">
        <x:f>IF(AND(F13&gt;=J13+K13,M13&gt;=0),"足够","不足")</x:f>
        <x:v>足够</x:v>
      </x:c>
    </x:row>
    <x:row r="14" ht="27" customHeight="1">
      <x:c r="A14" s="13" t="n">
        <x:v>10</x:v>
      </x:c>
      <x:c r="B14" s="13" t="n">
        <x:v>2</x:v>
      </x:c>
      <x:c r="C14" s="13" t="n">
        <x:v>1</x:v>
      </x:c>
      <x:c r="D14" s="11" t="str">
        <x:f>IF(C14=1,"N01",IF(C14=5,"N03",IF('参数'!$C$52=1,"N01","N02")))</x:f>
        <x:v>N01</x:v>
      </x:c>
      <x:c r="E14" s="13" t="n">
        <x:v>1</x:v>
      </x:c>
      <x:c r="F14" s="11" t="n">
        <x:f>M13</x:f>
        <x:v>51</x:v>
      </x:c>
      <x:c r="G14" s="11" t="n">
        <x:f>SUMIFS('奖励规则'!$D$5:$D$13,'奖励规则'!$B$5:$B$13,B14,'奖励规则'!$C$5:$C$13,D14)</x:f>
        <x:v>5</x:v>
      </x:c>
      <x:c r="H14" s="11" t="n">
        <x:f>IF(E14=3,SUMIFS('奖励规则'!$E$5:$E$13,'奖励规则'!$B$5:$B$13,B14,'奖励规则'!$C$5:$C$13,D14),0)</x:f>
        <x:v>0</x:v>
      </x:c>
      <x:c r="I14" s="11" t="n">
        <x:f>'参数'!$C$51</x:f>
        <x:v>1</x:v>
      </x:c>
      <x:c r="J14" s="11" t="n">
        <x:f>IF(I14&gt;=1,'参数'!$C$28,0)+IF(I14&gt;=2,'参数'!$C$29,0)+IF(I14&gt;=3,'参数'!$C$30,0)</x:f>
        <x:v>3</x:v>
      </x:c>
      <x:c r="K14" s="26" t="n">
        <x:v>0</x:v>
      </x:c>
      <x:c r="L14" s="11" t="n">
        <x:f>G14+H14-J14-K14</x:f>
        <x:v>2</x:v>
      </x:c>
      <x:c r="M14" s="11" t="n">
        <x:f>F14+L14</x:f>
        <x:v>53</x:v>
      </x:c>
      <x:c r="N14" s="11" t="str">
        <x:f>IF(AND(F14&gt;=J14+K14,M14&gt;=0),"足够","不足")</x:f>
        <x:v>足够</x:v>
      </x:c>
    </x:row>
    <x:row r="15" ht="27" customHeight="1">
      <x:c r="A15" s="12" t="n">
        <x:v>11</x:v>
      </x:c>
      <x:c r="B15" s="12" t="n">
        <x:v>2</x:v>
      </x:c>
      <x:c r="C15" s="12" t="n">
        <x:v>1</x:v>
      </x:c>
      <x:c r="D15" s="3" t="str">
        <x:f>IF(C15=1,"N01",IF(C15=5,"N03",IF('参数'!$C$52=1,"N01","N02")))</x:f>
        <x:v>N01</x:v>
      </x:c>
      <x:c r="E15" s="12" t="n">
        <x:v>2</x:v>
      </x:c>
      <x:c r="F15" s="3" t="n">
        <x:f>M14</x:f>
        <x:v>53</x:v>
      </x:c>
      <x:c r="G15" s="3" t="n">
        <x:f>SUMIFS('奖励规则'!$D$5:$D$13,'奖励规则'!$B$5:$B$13,B15,'奖励规则'!$C$5:$C$13,D15)</x:f>
        <x:v>5</x:v>
      </x:c>
      <x:c r="H15" s="3" t="n">
        <x:f>IF(E15=3,SUMIFS('奖励规则'!$E$5:$E$13,'奖励规则'!$B$5:$B$13,B15,'奖励规则'!$C$5:$C$13,D15),0)</x:f>
        <x:v>0</x:v>
      </x:c>
      <x:c r="I15" s="3" t="n">
        <x:f>'参数'!$C$51</x:f>
        <x:v>1</x:v>
      </x:c>
      <x:c r="J15" s="3" t="n">
        <x:f>IF(I15&gt;=1,'参数'!$C$28,0)+IF(I15&gt;=2,'参数'!$C$29,0)+IF(I15&gt;=3,'参数'!$C$30,0)</x:f>
        <x:v>3</x:v>
      </x:c>
      <x:c r="K15" s="26" t="n">
        <x:v>0</x:v>
      </x:c>
      <x:c r="L15" s="3" t="n">
        <x:f>G15+H15-J15-K15</x:f>
        <x:v>2</x:v>
      </x:c>
      <x:c r="M15" s="3" t="n">
        <x:f>F15+L15</x:f>
        <x:v>55</x:v>
      </x:c>
      <x:c r="N15" s="3" t="str">
        <x:f>IF(AND(F15&gt;=J15+K15,M15&gt;=0),"足够","不足")</x:f>
        <x:v>足够</x:v>
      </x:c>
    </x:row>
    <x:row r="16" ht="27" customHeight="1">
      <x:c r="A16" s="13" t="n">
        <x:v>12</x:v>
      </x:c>
      <x:c r="B16" s="13" t="n">
        <x:v>2</x:v>
      </x:c>
      <x:c r="C16" s="13" t="n">
        <x:v>1</x:v>
      </x:c>
      <x:c r="D16" s="11" t="str">
        <x:f>IF(C16=1,"N01",IF(C16=5,"N03",IF('参数'!$C$52=1,"N01","N02")))</x:f>
        <x:v>N01</x:v>
      </x:c>
      <x:c r="E16" s="13" t="n">
        <x:v>3</x:v>
      </x:c>
      <x:c r="F16" s="11" t="n">
        <x:f>M15</x:f>
        <x:v>55</x:v>
      </x:c>
      <x:c r="G16" s="11" t="n">
        <x:f>SUMIFS('奖励规则'!$D$5:$D$13,'奖励规则'!$B$5:$B$13,B16,'奖励规则'!$C$5:$C$13,D16)</x:f>
        <x:v>5</x:v>
      </x:c>
      <x:c r="H16" s="11" t="n">
        <x:f>IF(E16=3,SUMIFS('奖励规则'!$E$5:$E$13,'奖励规则'!$B$5:$B$13,B16,'奖励规则'!$C$5:$C$13,D16),0)</x:f>
        <x:v>6</x:v>
      </x:c>
      <x:c r="I16" s="11" t="n">
        <x:f>'参数'!$C$51</x:f>
        <x:v>1</x:v>
      </x:c>
      <x:c r="J16" s="11" t="n">
        <x:f>IF(I16&gt;=1,'参数'!$C$28,0)+IF(I16&gt;=2,'参数'!$C$29,0)+IF(I16&gt;=3,'参数'!$C$30,0)</x:f>
        <x:v>3</x:v>
      </x:c>
      <x:c r="K16" s="26" t="n">
        <x:v>0</x:v>
      </x:c>
      <x:c r="L16" s="11" t="n">
        <x:f>G16+H16-J16-K16</x:f>
        <x:v>8</x:v>
      </x:c>
      <x:c r="M16" s="11" t="n">
        <x:f>F16+L16</x:f>
        <x:v>63</x:v>
      </x:c>
      <x:c r="N16" s="11" t="str">
        <x:f>IF(AND(F16&gt;=J16+K16,M16&gt;=0),"足够","不足")</x:f>
        <x:v>足够</x:v>
      </x:c>
    </x:row>
    <x:row r="17" ht="27" customHeight="1">
      <x:c r="A17" s="12" t="n">
        <x:v>13</x:v>
      </x:c>
      <x:c r="B17" s="12" t="n">
        <x:v>2</x:v>
      </x:c>
      <x:c r="C17" s="12" t="n">
        <x:v>3</x:v>
      </x:c>
      <x:c r="D17" s="3" t="str">
        <x:f>IF(C17=1,"N01",IF(C17=5,"N03",IF('参数'!$C$52=1,"N01","N02")))</x:f>
        <x:v>N01</x:v>
      </x:c>
      <x:c r="E17" s="12" t="n">
        <x:v>1</x:v>
      </x:c>
      <x:c r="F17" s="3" t="n">
        <x:f>M16</x:f>
        <x:v>63</x:v>
      </x:c>
      <x:c r="G17" s="3" t="n">
        <x:f>SUMIFS('奖励规则'!$D$5:$D$13,'奖励规则'!$B$5:$B$13,B17,'奖励规则'!$C$5:$C$13,D17)</x:f>
        <x:v>5</x:v>
      </x:c>
      <x:c r="H17" s="3" t="n">
        <x:f>IF(E17=3,SUMIFS('奖励规则'!$E$5:$E$13,'奖励规则'!$B$5:$B$13,B17,'奖励规则'!$C$5:$C$13,D17),0)</x:f>
        <x:v>0</x:v>
      </x:c>
      <x:c r="I17" s="3" t="n">
        <x:f>'参数'!$C$51</x:f>
        <x:v>1</x:v>
      </x:c>
      <x:c r="J17" s="3" t="n">
        <x:f>IF(I17&gt;=1,'参数'!$C$28,0)+IF(I17&gt;=2,'参数'!$C$29,0)+IF(I17&gt;=3,'参数'!$C$30,0)</x:f>
        <x:v>3</x:v>
      </x:c>
      <x:c r="K17" s="26" t="n">
        <x:v>0</x:v>
      </x:c>
      <x:c r="L17" s="3" t="n">
        <x:f>G17+H17-J17-K17</x:f>
        <x:v>2</x:v>
      </x:c>
      <x:c r="M17" s="3" t="n">
        <x:f>F17+L17</x:f>
        <x:v>65</x:v>
      </x:c>
      <x:c r="N17" s="3" t="str">
        <x:f>IF(AND(F17&gt;=J17+K17,M17&gt;=0),"足够","不足")</x:f>
        <x:v>足够</x:v>
      </x:c>
    </x:row>
    <x:row r="18" ht="27" customHeight="1">
      <x:c r="A18" s="13" t="n">
        <x:v>14</x:v>
      </x:c>
      <x:c r="B18" s="13" t="n">
        <x:v>2</x:v>
      </x:c>
      <x:c r="C18" s="13" t="n">
        <x:v>3</x:v>
      </x:c>
      <x:c r="D18" s="11" t="str">
        <x:f>IF(C18=1,"N01",IF(C18=5,"N03",IF('参数'!$C$52=1,"N01","N02")))</x:f>
        <x:v>N01</x:v>
      </x:c>
      <x:c r="E18" s="13" t="n">
        <x:v>2</x:v>
      </x:c>
      <x:c r="F18" s="11" t="n">
        <x:f>M17</x:f>
        <x:v>65</x:v>
      </x:c>
      <x:c r="G18" s="11" t="n">
        <x:f>SUMIFS('奖励规则'!$D$5:$D$13,'奖励规则'!$B$5:$B$13,B18,'奖励规则'!$C$5:$C$13,D18)</x:f>
        <x:v>5</x:v>
      </x:c>
      <x:c r="H18" s="11" t="n">
        <x:f>IF(E18=3,SUMIFS('奖励规则'!$E$5:$E$13,'奖励规则'!$B$5:$B$13,B18,'奖励规则'!$C$5:$C$13,D18),0)</x:f>
        <x:v>0</x:v>
      </x:c>
      <x:c r="I18" s="11" t="n">
        <x:f>'参数'!$C$51</x:f>
        <x:v>1</x:v>
      </x:c>
      <x:c r="J18" s="11" t="n">
        <x:f>IF(I18&gt;=1,'参数'!$C$28,0)+IF(I18&gt;=2,'参数'!$C$29,0)+IF(I18&gt;=3,'参数'!$C$30,0)</x:f>
        <x:v>3</x:v>
      </x:c>
      <x:c r="K18" s="26" t="n">
        <x:v>0</x:v>
      </x:c>
      <x:c r="L18" s="11" t="n">
        <x:f>G18+H18-J18-K18</x:f>
        <x:v>2</x:v>
      </x:c>
      <x:c r="M18" s="11" t="n">
        <x:f>F18+L18</x:f>
        <x:v>67</x:v>
      </x:c>
      <x:c r="N18" s="11" t="str">
        <x:f>IF(AND(F18&gt;=J18+K18,M18&gt;=0),"足够","不足")</x:f>
        <x:v>足够</x:v>
      </x:c>
    </x:row>
    <x:row r="19" ht="27" customHeight="1">
      <x:c r="A19" s="12" t="n">
        <x:v>15</x:v>
      </x:c>
      <x:c r="B19" s="12" t="n">
        <x:v>2</x:v>
      </x:c>
      <x:c r="C19" s="12" t="n">
        <x:v>3</x:v>
      </x:c>
      <x:c r="D19" s="3" t="str">
        <x:f>IF(C19=1,"N01",IF(C19=5,"N03",IF('参数'!$C$52=1,"N01","N02")))</x:f>
        <x:v>N01</x:v>
      </x:c>
      <x:c r="E19" s="12" t="n">
        <x:v>3</x:v>
      </x:c>
      <x:c r="F19" s="3" t="n">
        <x:f>M18</x:f>
        <x:v>67</x:v>
      </x:c>
      <x:c r="G19" s="3" t="n">
        <x:f>SUMIFS('奖励规则'!$D$5:$D$13,'奖励规则'!$B$5:$B$13,B19,'奖励规则'!$C$5:$C$13,D19)</x:f>
        <x:v>5</x:v>
      </x:c>
      <x:c r="H19" s="3" t="n">
        <x:f>IF(E19=3,SUMIFS('奖励规则'!$E$5:$E$13,'奖励规则'!$B$5:$B$13,B19,'奖励规则'!$C$5:$C$13,D19),0)</x:f>
        <x:v>6</x:v>
      </x:c>
      <x:c r="I19" s="3" t="n">
        <x:f>'参数'!$C$51</x:f>
        <x:v>1</x:v>
      </x:c>
      <x:c r="J19" s="3" t="n">
        <x:f>IF(I19&gt;=1,'参数'!$C$28,0)+IF(I19&gt;=2,'参数'!$C$29,0)+IF(I19&gt;=3,'参数'!$C$30,0)</x:f>
        <x:v>3</x:v>
      </x:c>
      <x:c r="K19" s="26" t="n">
        <x:v>0</x:v>
      </x:c>
      <x:c r="L19" s="3" t="n">
        <x:f>G19+H19-J19-K19</x:f>
        <x:v>8</x:v>
      </x:c>
      <x:c r="M19" s="3" t="n">
        <x:f>F19+L19</x:f>
        <x:v>75</x:v>
      </x:c>
      <x:c r="N19" s="3" t="str">
        <x:f>IF(AND(F19&gt;=J19+K19,M19&gt;=0),"足够","不足")</x:f>
        <x:v>足够</x:v>
      </x:c>
    </x:row>
    <x:row r="20" ht="27" customHeight="1">
      <x:c r="A20" s="13" t="n">
        <x:v>16</x:v>
      </x:c>
      <x:c r="B20" s="13" t="n">
        <x:v>2</x:v>
      </x:c>
      <x:c r="C20" s="13" t="n">
        <x:v>5</x:v>
      </x:c>
      <x:c r="D20" s="11" t="str">
        <x:f>IF(C20=1,"N01",IF(C20=5,"N03",IF('参数'!$C$52=1,"N01","N02")))</x:f>
        <x:v>N03</x:v>
      </x:c>
      <x:c r="E20" s="13" t="n">
        <x:v>1</x:v>
      </x:c>
      <x:c r="F20" s="11" t="n">
        <x:f>M19</x:f>
        <x:v>75</x:v>
      </x:c>
      <x:c r="G20" s="11" t="n">
        <x:f>SUMIFS('奖励规则'!$D$5:$D$13,'奖励规则'!$B$5:$B$13,B20,'奖励规则'!$C$5:$C$13,D20)</x:f>
        <x:v>7</x:v>
      </x:c>
      <x:c r="H20" s="11" t="n">
        <x:f>IF(E20=3,SUMIFS('奖励规则'!$E$5:$E$13,'奖励规则'!$B$5:$B$13,B20,'奖励规则'!$C$5:$C$13,D20),0)</x:f>
        <x:v>0</x:v>
      </x:c>
      <x:c r="I20" s="11" t="n">
        <x:f>'参数'!$C$51</x:f>
        <x:v>1</x:v>
      </x:c>
      <x:c r="J20" s="11" t="n">
        <x:f>IF(I20&gt;=1,'参数'!$C$28,0)+IF(I20&gt;=2,'参数'!$C$29,0)+IF(I20&gt;=3,'参数'!$C$30,0)</x:f>
        <x:v>3</x:v>
      </x:c>
      <x:c r="K20" s="26" t="n">
        <x:v>0</x:v>
      </x:c>
      <x:c r="L20" s="11" t="n">
        <x:f>G20+H20-J20-K20</x:f>
        <x:v>4</x:v>
      </x:c>
      <x:c r="M20" s="11" t="n">
        <x:f>F20+L20</x:f>
        <x:v>79</x:v>
      </x:c>
      <x:c r="N20" s="11" t="str">
        <x:f>IF(AND(F20&gt;=J20+K20,M20&gt;=0),"足够","不足")</x:f>
        <x:v>足够</x:v>
      </x:c>
    </x:row>
    <x:row r="21" ht="27" customHeight="1">
      <x:c r="A21" s="12" t="n">
        <x:v>17</x:v>
      </x:c>
      <x:c r="B21" s="12" t="n">
        <x:v>2</x:v>
      </x:c>
      <x:c r="C21" s="12" t="n">
        <x:v>5</x:v>
      </x:c>
      <x:c r="D21" s="3" t="str">
        <x:f>IF(C21=1,"N01",IF(C21=5,"N03",IF('参数'!$C$52=1,"N01","N02")))</x:f>
        <x:v>N03</x:v>
      </x:c>
      <x:c r="E21" s="12" t="n">
        <x:v>2</x:v>
      </x:c>
      <x:c r="F21" s="3" t="n">
        <x:f>M20</x:f>
        <x:v>79</x:v>
      </x:c>
      <x:c r="G21" s="3" t="n">
        <x:f>SUMIFS('奖励规则'!$D$5:$D$13,'奖励规则'!$B$5:$B$13,B21,'奖励规则'!$C$5:$C$13,D21)</x:f>
        <x:v>7</x:v>
      </x:c>
      <x:c r="H21" s="3" t="n">
        <x:f>IF(E21=3,SUMIFS('奖励规则'!$E$5:$E$13,'奖励规则'!$B$5:$B$13,B21,'奖励规则'!$C$5:$C$13,D21),0)</x:f>
        <x:v>0</x:v>
      </x:c>
      <x:c r="I21" s="3" t="n">
        <x:f>'参数'!$C$51</x:f>
        <x:v>1</x:v>
      </x:c>
      <x:c r="J21" s="3" t="n">
        <x:f>IF(I21&gt;=1,'参数'!$C$28,0)+IF(I21&gt;=2,'参数'!$C$29,0)+IF(I21&gt;=3,'参数'!$C$30,0)</x:f>
        <x:v>3</x:v>
      </x:c>
      <x:c r="K21" s="26" t="n">
        <x:v>0</x:v>
      </x:c>
      <x:c r="L21" s="3" t="n">
        <x:f>G21+H21-J21-K21</x:f>
        <x:v>4</x:v>
      </x:c>
      <x:c r="M21" s="3" t="n">
        <x:f>F21+L21</x:f>
        <x:v>83</x:v>
      </x:c>
      <x:c r="N21" s="3" t="str">
        <x:f>IF(AND(F21&gt;=J21+K21,M21&gt;=0),"足够","不足")</x:f>
        <x:v>足够</x:v>
      </x:c>
    </x:row>
    <x:row r="22" ht="27" customHeight="1">
      <x:c r="A22" s="13" t="n">
        <x:v>18</x:v>
      </x:c>
      <x:c r="B22" s="13" t="n">
        <x:v>2</x:v>
      </x:c>
      <x:c r="C22" s="13" t="n">
        <x:v>5</x:v>
      </x:c>
      <x:c r="D22" s="11" t="str">
        <x:f>IF(C22=1,"N01",IF(C22=5,"N03",IF('参数'!$C$52=1,"N01","N02")))</x:f>
        <x:v>N03</x:v>
      </x:c>
      <x:c r="E22" s="13" t="n">
        <x:v>3</x:v>
      </x:c>
      <x:c r="F22" s="11" t="n">
        <x:f>M21</x:f>
        <x:v>83</x:v>
      </x:c>
      <x:c r="G22" s="11" t="n">
        <x:f>SUMIFS('奖励规则'!$D$5:$D$13,'奖励规则'!$B$5:$B$13,B22,'奖励规则'!$C$5:$C$13,D22)</x:f>
        <x:v>7</x:v>
      </x:c>
      <x:c r="H22" s="11" t="n">
        <x:f>IF(E22=3,SUMIFS('奖励规则'!$E$5:$E$13,'奖励规则'!$B$5:$B$13,B22,'奖励规则'!$C$5:$C$13,D22),0)</x:f>
        <x:v>12</x:v>
      </x:c>
      <x:c r="I22" s="11" t="n">
        <x:f>'参数'!$C$51</x:f>
        <x:v>1</x:v>
      </x:c>
      <x:c r="J22" s="11" t="n">
        <x:f>IF(I22&gt;=1,'参数'!$C$28,0)+IF(I22&gt;=2,'参数'!$C$29,0)+IF(I22&gt;=3,'参数'!$C$30,0)</x:f>
        <x:v>3</x:v>
      </x:c>
      <x:c r="K22" s="26" t="n">
        <x:v>0</x:v>
      </x:c>
      <x:c r="L22" s="11" t="n">
        <x:f>G22+H22-J22-K22</x:f>
        <x:v>16</x:v>
      </x:c>
      <x:c r="M22" s="11" t="n">
        <x:f>F22+L22</x:f>
        <x:v>99</x:v>
      </x:c>
      <x:c r="N22" s="11" t="str">
        <x:f>IF(AND(F22&gt;=J22+K22,M22&gt;=0),"足够","不足")</x:f>
        <x:v>足够</x:v>
      </x:c>
    </x:row>
    <x:row r="23" ht="27" customHeight="1">
      <x:c r="A23" s="12" t="n">
        <x:v>19</x:v>
      </x:c>
      <x:c r="B23" s="12" t="n">
        <x:v>3</x:v>
      </x:c>
      <x:c r="C23" s="12" t="n">
        <x:v>1</x:v>
      </x:c>
      <x:c r="D23" s="3" t="str">
        <x:f>IF(C23=1,"N01",IF(C23=5,"N03",IF('参数'!$C$52=1,"N01","N02")))</x:f>
        <x:v>N01</x:v>
      </x:c>
      <x:c r="E23" s="12" t="n">
        <x:v>1</x:v>
      </x:c>
      <x:c r="F23" s="3" t="n">
        <x:f>M22</x:f>
        <x:v>99</x:v>
      </x:c>
      <x:c r="G23" s="3" t="n">
        <x:f>SUMIFS('奖励规则'!$D$5:$D$13,'奖励规则'!$B$5:$B$13,B23,'奖励规则'!$C$5:$C$13,D23)</x:f>
        <x:v>6</x:v>
      </x:c>
      <x:c r="H23" s="3" t="n">
        <x:f>IF(E23=3,SUMIFS('奖励规则'!$E$5:$E$13,'奖励规则'!$B$5:$B$13,B23,'奖励规则'!$C$5:$C$13,D23),0)</x:f>
        <x:v>0</x:v>
      </x:c>
      <x:c r="I23" s="3" t="n">
        <x:f>'参数'!$C$51</x:f>
        <x:v>1</x:v>
      </x:c>
      <x:c r="J23" s="3" t="n">
        <x:f>IF(I23&gt;=1,'参数'!$C$28,0)+IF(I23&gt;=2,'参数'!$C$29,0)+IF(I23&gt;=3,'参数'!$C$30,0)</x:f>
        <x:v>3</x:v>
      </x:c>
      <x:c r="K23" s="26" t="n">
        <x:v>0</x:v>
      </x:c>
      <x:c r="L23" s="3" t="n">
        <x:f>G23+H23-J23-K23</x:f>
        <x:v>3</x:v>
      </x:c>
      <x:c r="M23" s="3" t="n">
        <x:f>F23+L23</x:f>
        <x:v>102</x:v>
      </x:c>
      <x:c r="N23" s="3" t="str">
        <x:f>IF(AND(F23&gt;=J23+K23,M23&gt;=0),"足够","不足")</x:f>
        <x:v>足够</x:v>
      </x:c>
    </x:row>
    <x:row r="24" ht="27" customHeight="1">
      <x:c r="A24" s="13" t="n">
        <x:v>20</x:v>
      </x:c>
      <x:c r="B24" s="13" t="n">
        <x:v>3</x:v>
      </x:c>
      <x:c r="C24" s="13" t="n">
        <x:v>1</x:v>
      </x:c>
      <x:c r="D24" s="11" t="str">
        <x:f>IF(C24=1,"N01",IF(C24=5,"N03",IF('参数'!$C$52=1,"N01","N02")))</x:f>
        <x:v>N01</x:v>
      </x:c>
      <x:c r="E24" s="13" t="n">
        <x:v>2</x:v>
      </x:c>
      <x:c r="F24" s="11" t="n">
        <x:f>M23</x:f>
        <x:v>102</x:v>
      </x:c>
      <x:c r="G24" s="11" t="n">
        <x:f>SUMIFS('奖励规则'!$D$5:$D$13,'奖励规则'!$B$5:$B$13,B24,'奖励规则'!$C$5:$C$13,D24)</x:f>
        <x:v>6</x:v>
      </x:c>
      <x:c r="H24" s="11" t="n">
        <x:f>IF(E24=3,SUMIFS('奖励规则'!$E$5:$E$13,'奖励规则'!$B$5:$B$13,B24,'奖励规则'!$C$5:$C$13,D24),0)</x:f>
        <x:v>0</x:v>
      </x:c>
      <x:c r="I24" s="11" t="n">
        <x:f>'参数'!$C$51</x:f>
        <x:v>1</x:v>
      </x:c>
      <x:c r="J24" s="11" t="n">
        <x:f>IF(I24&gt;=1,'参数'!$C$28,0)+IF(I24&gt;=2,'参数'!$C$29,0)+IF(I24&gt;=3,'参数'!$C$30,0)</x:f>
        <x:v>3</x:v>
      </x:c>
      <x:c r="K24" s="26" t="n">
        <x:v>0</x:v>
      </x:c>
      <x:c r="L24" s="11" t="n">
        <x:f>G24+H24-J24-K24</x:f>
        <x:v>3</x:v>
      </x:c>
      <x:c r="M24" s="11" t="n">
        <x:f>F24+L24</x:f>
        <x:v>105</x:v>
      </x:c>
      <x:c r="N24" s="11" t="str">
        <x:f>IF(AND(F24&gt;=J24+K24,M24&gt;=0),"足够","不足")</x:f>
        <x:v>足够</x:v>
      </x:c>
    </x:row>
    <x:row r="25" ht="27" customHeight="1">
      <x:c r="A25" s="12" t="n">
        <x:v>21</x:v>
      </x:c>
      <x:c r="B25" s="12" t="n">
        <x:v>3</x:v>
      </x:c>
      <x:c r="C25" s="12" t="n">
        <x:v>1</x:v>
      </x:c>
      <x:c r="D25" s="3" t="str">
        <x:f>IF(C25=1,"N01",IF(C25=5,"N03",IF('参数'!$C$52=1,"N01","N02")))</x:f>
        <x:v>N01</x:v>
      </x:c>
      <x:c r="E25" s="12" t="n">
        <x:v>3</x:v>
      </x:c>
      <x:c r="F25" s="3" t="n">
        <x:f>M24</x:f>
        <x:v>105</x:v>
      </x:c>
      <x:c r="G25" s="3" t="n">
        <x:f>SUMIFS('奖励规则'!$D$5:$D$13,'奖励规则'!$B$5:$B$13,B25,'奖励规则'!$C$5:$C$13,D25)</x:f>
        <x:v>6</x:v>
      </x:c>
      <x:c r="H25" s="3" t="n">
        <x:f>IF(E25=3,SUMIFS('奖励规则'!$E$5:$E$13,'奖励规则'!$B$5:$B$13,B25,'奖励规则'!$C$5:$C$13,D25),0)</x:f>
        <x:v>6</x:v>
      </x:c>
      <x:c r="I25" s="3" t="n">
        <x:f>'参数'!$C$51</x:f>
        <x:v>1</x:v>
      </x:c>
      <x:c r="J25" s="3" t="n">
        <x:f>IF(I25&gt;=1,'参数'!$C$28,0)+IF(I25&gt;=2,'参数'!$C$29,0)+IF(I25&gt;=3,'参数'!$C$30,0)</x:f>
        <x:v>3</x:v>
      </x:c>
      <x:c r="K25" s="26" t="n">
        <x:v>0</x:v>
      </x:c>
      <x:c r="L25" s="3" t="n">
        <x:f>G25+H25-J25-K25</x:f>
        <x:v>9</x:v>
      </x:c>
      <x:c r="M25" s="3" t="n">
        <x:f>F25+L25</x:f>
        <x:v>114</x:v>
      </x:c>
      <x:c r="N25" s="3" t="str">
        <x:f>IF(AND(F25&gt;=J25+K25,M25&gt;=0),"足够","不足")</x:f>
        <x:v>足够</x:v>
      </x:c>
    </x:row>
    <x:row r="26" ht="27" customHeight="1">
      <x:c r="A26" s="13" t="n">
        <x:v>22</x:v>
      </x:c>
      <x:c r="B26" s="13" t="n">
        <x:v>3</x:v>
      </x:c>
      <x:c r="C26" s="13" t="n">
        <x:v>3</x:v>
      </x:c>
      <x:c r="D26" s="11" t="str">
        <x:f>IF(C26=1,"N01",IF(C26=5,"N03",IF('参数'!$C$52=1,"N01","N02")))</x:f>
        <x:v>N01</x:v>
      </x:c>
      <x:c r="E26" s="13" t="n">
        <x:v>1</x:v>
      </x:c>
      <x:c r="F26" s="11" t="n">
        <x:f>M25</x:f>
        <x:v>114</x:v>
      </x:c>
      <x:c r="G26" s="11" t="n">
        <x:f>SUMIFS('奖励规则'!$D$5:$D$13,'奖励规则'!$B$5:$B$13,B26,'奖励规则'!$C$5:$C$13,D26)</x:f>
        <x:v>6</x:v>
      </x:c>
      <x:c r="H26" s="11" t="n">
        <x:f>IF(E26=3,SUMIFS('奖励规则'!$E$5:$E$13,'奖励规则'!$B$5:$B$13,B26,'奖励规则'!$C$5:$C$13,D26),0)</x:f>
        <x:v>0</x:v>
      </x:c>
      <x:c r="I26" s="11" t="n">
        <x:f>'参数'!$C$51</x:f>
        <x:v>1</x:v>
      </x:c>
      <x:c r="J26" s="11" t="n">
        <x:f>IF(I26&gt;=1,'参数'!$C$28,0)+IF(I26&gt;=2,'参数'!$C$29,0)+IF(I26&gt;=3,'参数'!$C$30,0)</x:f>
        <x:v>3</x:v>
      </x:c>
      <x:c r="K26" s="26" t="n">
        <x:v>0</x:v>
      </x:c>
      <x:c r="L26" s="11" t="n">
        <x:f>G26+H26-J26-K26</x:f>
        <x:v>3</x:v>
      </x:c>
      <x:c r="M26" s="11" t="n">
        <x:f>F26+L26</x:f>
        <x:v>117</x:v>
      </x:c>
      <x:c r="N26" s="11" t="str">
        <x:f>IF(AND(F26&gt;=J26+K26,M26&gt;=0),"足够","不足")</x:f>
        <x:v>足够</x:v>
      </x:c>
    </x:row>
    <x:row r="27" ht="27" customHeight="1">
      <x:c r="A27" s="12" t="n">
        <x:v>23</x:v>
      </x:c>
      <x:c r="B27" s="12" t="n">
        <x:v>3</x:v>
      </x:c>
      <x:c r="C27" s="12" t="n">
        <x:v>3</x:v>
      </x:c>
      <x:c r="D27" s="3" t="str">
        <x:f>IF(C27=1,"N01",IF(C27=5,"N03",IF('参数'!$C$52=1,"N01","N02")))</x:f>
        <x:v>N01</x:v>
      </x:c>
      <x:c r="E27" s="12" t="n">
        <x:v>2</x:v>
      </x:c>
      <x:c r="F27" s="3" t="n">
        <x:f>M26</x:f>
        <x:v>117</x:v>
      </x:c>
      <x:c r="G27" s="3" t="n">
        <x:f>SUMIFS('奖励规则'!$D$5:$D$13,'奖励规则'!$B$5:$B$13,B27,'奖励规则'!$C$5:$C$13,D27)</x:f>
        <x:v>6</x:v>
      </x:c>
      <x:c r="H27" s="3" t="n">
        <x:f>IF(E27=3,SUMIFS('奖励规则'!$E$5:$E$13,'奖励规则'!$B$5:$B$13,B27,'奖励规则'!$C$5:$C$13,D27),0)</x:f>
        <x:v>0</x:v>
      </x:c>
      <x:c r="I27" s="3" t="n">
        <x:f>'参数'!$C$51</x:f>
        <x:v>1</x:v>
      </x:c>
      <x:c r="J27" s="3" t="n">
        <x:f>IF(I27&gt;=1,'参数'!$C$28,0)+IF(I27&gt;=2,'参数'!$C$29,0)+IF(I27&gt;=3,'参数'!$C$30,0)</x:f>
        <x:v>3</x:v>
      </x:c>
      <x:c r="K27" s="26" t="n">
        <x:v>0</x:v>
      </x:c>
      <x:c r="L27" s="3" t="n">
        <x:f>G27+H27-J27-K27</x:f>
        <x:v>3</x:v>
      </x:c>
      <x:c r="M27" s="3" t="n">
        <x:f>F27+L27</x:f>
        <x:v>120</x:v>
      </x:c>
      <x:c r="N27" s="3" t="str">
        <x:f>IF(AND(F27&gt;=J27+K27,M27&gt;=0),"足够","不足")</x:f>
        <x:v>足够</x:v>
      </x:c>
    </x:row>
    <x:row r="28" ht="27" customHeight="1">
      <x:c r="A28" s="13" t="n">
        <x:v>24</x:v>
      </x:c>
      <x:c r="B28" s="13" t="n">
        <x:v>3</x:v>
      </x:c>
      <x:c r="C28" s="13" t="n">
        <x:v>3</x:v>
      </x:c>
      <x:c r="D28" s="11" t="str">
        <x:f>IF(C28=1,"N01",IF(C28=5,"N03",IF('参数'!$C$52=1,"N01","N02")))</x:f>
        <x:v>N01</x:v>
      </x:c>
      <x:c r="E28" s="13" t="n">
        <x:v>3</x:v>
      </x:c>
      <x:c r="F28" s="11" t="n">
        <x:f>M27</x:f>
        <x:v>120</x:v>
      </x:c>
      <x:c r="G28" s="11" t="n">
        <x:f>SUMIFS('奖励规则'!$D$5:$D$13,'奖励规则'!$B$5:$B$13,B28,'奖励规则'!$C$5:$C$13,D28)</x:f>
        <x:v>6</x:v>
      </x:c>
      <x:c r="H28" s="11" t="n">
        <x:f>IF(E28=3,SUMIFS('奖励规则'!$E$5:$E$13,'奖励规则'!$B$5:$B$13,B28,'奖励规则'!$C$5:$C$13,D28),0)</x:f>
        <x:v>6</x:v>
      </x:c>
      <x:c r="I28" s="11" t="n">
        <x:f>'参数'!$C$51</x:f>
        <x:v>1</x:v>
      </x:c>
      <x:c r="J28" s="11" t="n">
        <x:f>IF(I28&gt;=1,'参数'!$C$28,0)+IF(I28&gt;=2,'参数'!$C$29,0)+IF(I28&gt;=3,'参数'!$C$30,0)</x:f>
        <x:v>3</x:v>
      </x:c>
      <x:c r="K28" s="26" t="n">
        <x:v>0</x:v>
      </x:c>
      <x:c r="L28" s="11" t="n">
        <x:f>G28+H28-J28-K28</x:f>
        <x:v>9</x:v>
      </x:c>
      <x:c r="M28" s="11" t="n">
        <x:f>F28+L28</x:f>
        <x:v>129</x:v>
      </x:c>
      <x:c r="N28" s="11" t="str">
        <x:f>IF(AND(F28&gt;=J28+K28,M28&gt;=0),"足够","不足")</x:f>
        <x:v>足够</x:v>
      </x:c>
    </x:row>
    <x:row r="29" ht="27" customHeight="1">
      <x:c r="A29" s="12" t="n">
        <x:v>25</x:v>
      </x:c>
      <x:c r="B29" s="12" t="n">
        <x:v>3</x:v>
      </x:c>
      <x:c r="C29" s="12" t="n">
        <x:v>5</x:v>
      </x:c>
      <x:c r="D29" s="3" t="str">
        <x:f>IF(C29=1,"N01",IF(C29=5,"N03",IF('参数'!$C$52=1,"N01","N02")))</x:f>
        <x:v>N03</x:v>
      </x:c>
      <x:c r="E29" s="12" t="n">
        <x:v>1</x:v>
      </x:c>
      <x:c r="F29" s="3" t="n">
        <x:f>M28</x:f>
        <x:v>129</x:v>
      </x:c>
      <x:c r="G29" s="3" t="n">
        <x:f>SUMIFS('奖励规则'!$D$5:$D$13,'奖励规则'!$B$5:$B$13,B29,'奖励规则'!$C$5:$C$13,D29)</x:f>
        <x:v>8</x:v>
      </x:c>
      <x:c r="H29" s="3" t="n">
        <x:f>IF(E29=3,SUMIFS('奖励规则'!$E$5:$E$13,'奖励规则'!$B$5:$B$13,B29,'奖励规则'!$C$5:$C$13,D29),0)</x:f>
        <x:v>0</x:v>
      </x:c>
      <x:c r="I29" s="3" t="n">
        <x:f>'参数'!$C$51</x:f>
        <x:v>1</x:v>
      </x:c>
      <x:c r="J29" s="3" t="n">
        <x:f>IF(I29&gt;=1,'参数'!$C$28,0)+IF(I29&gt;=2,'参数'!$C$29,0)+IF(I29&gt;=3,'参数'!$C$30,0)</x:f>
        <x:v>3</x:v>
      </x:c>
      <x:c r="K29" s="26" t="n">
        <x:v>0</x:v>
      </x:c>
      <x:c r="L29" s="3" t="n">
        <x:f>G29+H29-J29-K29</x:f>
        <x:v>5</x:v>
      </x:c>
      <x:c r="M29" s="3" t="n">
        <x:f>F29+L29</x:f>
        <x:v>134</x:v>
      </x:c>
      <x:c r="N29" s="3" t="str">
        <x:f>IF(AND(F29&gt;=J29+K29,M29&gt;=0),"足够","不足")</x:f>
        <x:v>足够</x:v>
      </x:c>
    </x:row>
    <x:row r="30" ht="27" customHeight="1">
      <x:c r="A30" s="13" t="n">
        <x:v>26</x:v>
      </x:c>
      <x:c r="B30" s="13" t="n">
        <x:v>3</x:v>
      </x:c>
      <x:c r="C30" s="13" t="n">
        <x:v>5</x:v>
      </x:c>
      <x:c r="D30" s="11" t="str">
        <x:f>IF(C30=1,"N01",IF(C30=5,"N03",IF('参数'!$C$52=1,"N01","N02")))</x:f>
        <x:v>N03</x:v>
      </x:c>
      <x:c r="E30" s="13" t="n">
        <x:v>2</x:v>
      </x:c>
      <x:c r="F30" s="11" t="n">
        <x:f>M29</x:f>
        <x:v>134</x:v>
      </x:c>
      <x:c r="G30" s="11" t="n">
        <x:f>SUMIFS('奖励规则'!$D$5:$D$13,'奖励规则'!$B$5:$B$13,B30,'奖励规则'!$C$5:$C$13,D30)</x:f>
        <x:v>8</x:v>
      </x:c>
      <x:c r="H30" s="11" t="n">
        <x:f>IF(E30=3,SUMIFS('奖励规则'!$E$5:$E$13,'奖励规则'!$B$5:$B$13,B30,'奖励规则'!$C$5:$C$13,D30),0)</x:f>
        <x:v>0</x:v>
      </x:c>
      <x:c r="I30" s="11" t="n">
        <x:f>'参数'!$C$51</x:f>
        <x:v>1</x:v>
      </x:c>
      <x:c r="J30" s="11" t="n">
        <x:f>IF(I30&gt;=1,'参数'!$C$28,0)+IF(I30&gt;=2,'参数'!$C$29,0)+IF(I30&gt;=3,'参数'!$C$30,0)</x:f>
        <x:v>3</x:v>
      </x:c>
      <x:c r="K30" s="26" t="n">
        <x:v>0</x:v>
      </x:c>
      <x:c r="L30" s="11" t="n">
        <x:f>G30+H30-J30-K30</x:f>
        <x:v>5</x:v>
      </x:c>
      <x:c r="M30" s="11" t="n">
        <x:f>F30+L30</x:f>
        <x:v>139</x:v>
      </x:c>
      <x:c r="N30" s="11" t="str">
        <x:f>IF(AND(F30&gt;=J30+K30,M30&gt;=0),"足够","不足")</x:f>
        <x:v>足够</x:v>
      </x:c>
    </x:row>
    <x:row r="31" ht="27" customHeight="1">
      <x:c r="A31" s="12" t="n">
        <x:v>27</x:v>
      </x:c>
      <x:c r="B31" s="12" t="n">
        <x:v>3</x:v>
      </x:c>
      <x:c r="C31" s="12" t="n">
        <x:v>5</x:v>
      </x:c>
      <x:c r="D31" s="3" t="str">
        <x:f>IF(C31=1,"N01",IF(C31=5,"N03",IF('参数'!$C$52=1,"N01","N02")))</x:f>
        <x:v>N03</x:v>
      </x:c>
      <x:c r="E31" s="12" t="n">
        <x:v>3</x:v>
      </x:c>
      <x:c r="F31" s="3" t="n">
        <x:f>M30</x:f>
        <x:v>139</x:v>
      </x:c>
      <x:c r="G31" s="3" t="n">
        <x:f>SUMIFS('奖励规则'!$D$5:$D$13,'奖励规则'!$B$5:$B$13,B31,'奖励规则'!$C$5:$C$13,D31)</x:f>
        <x:v>8</x:v>
      </x:c>
      <x:c r="H31" s="3" t="n">
        <x:f>IF(E31=3,SUMIFS('奖励规则'!$E$5:$E$13,'奖励规则'!$B$5:$B$13,B31,'奖励规则'!$C$5:$C$13,D31),0)</x:f>
        <x:v>12</x:v>
      </x:c>
      <x:c r="I31" s="3" t="n">
        <x:f>'参数'!$C$51</x:f>
        <x:v>1</x:v>
      </x:c>
      <x:c r="J31" s="3" t="n">
        <x:f>IF(I31&gt;=1,'参数'!$C$28,0)+IF(I31&gt;=2,'参数'!$C$29,0)+IF(I31&gt;=3,'参数'!$C$30,0)</x:f>
        <x:v>3</x:v>
      </x:c>
      <x:c r="K31" s="26" t="n">
        <x:v>0</x:v>
      </x:c>
      <x:c r="L31" s="3" t="n">
        <x:f>G31+H31-J31-K31</x:f>
        <x:v>17</x:v>
      </x:c>
      <x:c r="M31" s="3" t="n">
        <x:f>F31+L31</x:f>
        <x:v>156</x:v>
      </x:c>
      <x:c r="N31" s="3" t="str">
        <x:f>IF(AND(F31&gt;=J31+K31,M31&gt;=0),"足够","不足")</x:f>
        <x:v>足够</x:v>
      </x:c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</x:row>
  </x:sheetData>
  <x:mergeCells>
    <x:mergeCell ref="A2:F2"/>
  </x:mergeCells>
  <x:conditionalFormatting sqref="M5:M31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4f4c36a6b34e0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.110000610351562" hidden="0" customWidth="1"/>
    <x:col min="2" max="2" width="18.889999389648438" hidden="0" customWidth="1"/>
    <x:col min="3" max="3" width="8.890000343322754" hidden="0" customWidth="1"/>
    <x:col min="4" max="4" width="7.78000020980835" hidden="0" customWidth="1"/>
    <x:col min="5" max="5" width="10" hidden="0" customWidth="1"/>
    <x:col min="6" max="6" width="11.109999656677246" hidden="0" customWidth="1"/>
    <x:col min="7" max="7" width="11.109999656677246" hidden="0" customWidth="1"/>
    <x:col min="8" max="8" width="11.109999656677246" hidden="0" customWidth="1"/>
    <x:col min="9" max="9" width="11.109999656677246" hidden="0" customWidth="1"/>
    <x:col min="10" max="10" width="10.5600004196167" hidden="0" customWidth="1"/>
    <x:col min="11" max="11" width="11.109999656677246" hidden="0" customWidth="1"/>
    <x:col min="12" max="12" width="10" hidden="0" customWidth="1"/>
    <x:col min="13" max="13" width="10" hidden="0" customWidth="1"/>
    <x:col min="14" max="14" width="10.5600004196167" hidden="0" customWidth="1"/>
    <x:col min="15" max="15" width="11.109999656677246" hidden="0" customWidth="1"/>
    <x:col min="16" max="16" width="10" hidden="0" customWidth="1"/>
    <x:col min="17" max="17" width="11.109999656677246" hidden="0" customWidth="1"/>
    <x:col min="18" max="18" width="10" hidden="0" customWidth="1"/>
    <x:col min="19" max="19" width="11.109999656677246" hidden="0" customWidth="1"/>
    <x:col min="20" max="20" width="12.220000267028809" hidden="0" customWidth="1"/>
    <x:col min="21" max="21" width="12.220000267028809" hidden="0" customWidth="1"/>
    <x:col min="22" max="22" width="12.220000267028809" hidden="0" customWidth="1"/>
    <x:col min="23" max="23" width="16.110000610351562" hidden="0" customWidth="1"/>
    <x:col min="24" max="24" width="17.780000686645508" hidden="0" customWidth="1"/>
    <x:col min="25" max="25" width="12.22000026702880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30" customHeight="1">
      <x:c r="A2" s="5" t="str">
        <x:v>36个死灵职业与训练试算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>
      <x:c r="A3" s="4" t="str">
        <x:v>可编辑出生裸值；派生数值随参数更新。DPS不含技能、控制、召唤和遗物，不能作为综合强度排名。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</x:row>
    <x:row r="4" ht="36" customHeight="1">
      <x:c r="A4" s="10" t="str">
        <x:v>兵种ID</x:v>
      </x:c>
      <x:c r="B4" s="10" t="str">
        <x:v>名称</x:v>
      </x:c>
      <x:c r="C4" s="10" t="str">
        <x:v>家族</x:v>
      </x:c>
      <x:c r="D4" s="10" t="str">
        <x:v>出生阶</x:v>
      </x:c>
      <x:c r="E4" s="10" t="str">
        <x:v>分支</x:v>
      </x:c>
      <x:c r="F4" s="10" t="str">
        <x:v>普攻类型</x:v>
      </x:c>
      <x:c r="G4" s="10" t="str">
        <x:v>Lv1生命</x:v>
      </x:c>
      <x:c r="H4" s="10" t="str">
        <x:v>Lv1攻击</x:v>
      </x:c>
      <x:c r="I4" s="10" t="str">
        <x:v>Lv1护甲</x:v>
      </x:c>
      <x:c r="J4" s="10" t="str">
        <x:v>攻速每秒</x:v>
      </x:c>
      <x:c r="K4" s="10" t="str">
        <x:v>移动米秒</x:v>
      </x:c>
      <x:c r="L4" s="10" t="str">
        <x:v>射程米</x:v>
      </x:c>
      <x:c r="M4" s="10" t="str">
        <x:v>暴击率</x:v>
      </x:c>
      <x:c r="N4" s="10" t="str">
        <x:v>暴击倍率</x:v>
      </x:c>
      <x:c r="O4" s="10" t="str">
        <x:v>再生每秒</x:v>
      </x:c>
      <x:c r="P4" s="10" t="str">
        <x:v>格挡率</x:v>
      </x:c>
      <x:c r="Q4" s="10" t="str">
        <x:v>格挡减伤</x:v>
      </x:c>
      <x:c r="R4" s="10" t="str">
        <x:v>吸血率</x:v>
      </x:c>
      <x:c r="S4" s="10" t="str">
        <x:v>试算等级</x:v>
      </x:c>
      <x:c r="T4" s="10" t="str">
        <x:v>训练生命</x:v>
      </x:c>
      <x:c r="U4" s="10" t="str">
        <x:v>训练攻击</x:v>
      </x:c>
      <x:c r="V4" s="10" t="str">
        <x:v>训练护甲</x:v>
      </x:c>
      <x:c r="W4" s="10" t="str">
        <x:v>普攻期望DPS</x:v>
      </x:c>
      <x:c r="X4" s="10" t="str">
        <x:v>对目标护甲DPS</x:v>
      </x:c>
      <x:c r="Y4" s="10" t="str">
        <x:v>实现阶段</x:v>
      </x:c>
    </x:row>
    <x:row r="5" ht="27" customHeight="1">
      <x:c r="A5" s="3" t="str">
        <x:v>U_SK_1</x:v>
      </x:c>
      <x:c r="B5" s="3" t="str">
        <x:v>骨牌盾手</x:v>
      </x:c>
      <x:c r="C5" s="3" t="str">
        <x:v>SK</x:v>
      </x:c>
      <x:c r="D5" s="12" t="n">
        <x:v>1</x:v>
      </x:c>
      <x:c r="E5" s="3" t="str">
        <x:v>BASE</x:v>
      </x:c>
      <x:c r="F5" s="3" t="str">
        <x:v>PHY</x:v>
      </x:c>
      <x:c r="G5" s="12" t="n">
        <x:v>150</x:v>
      </x:c>
      <x:c r="H5" s="12" t="n">
        <x:v>14</x:v>
      </x:c>
      <x:c r="I5" s="12" t="n">
        <x:v>8</x:v>
      </x:c>
      <x:c r="J5" s="12" t="n">
        <x:v>0.85</x:v>
      </x:c>
      <x:c r="K5" s="12" t="n">
        <x:v>2.1</x:v>
      </x:c>
      <x:c r="L5" s="12" t="n">
        <x:v>1.2</x:v>
      </x:c>
      <x:c r="M5" s="14" t="n">
        <x:v>0.05</x:v>
      </x:c>
      <x:c r="N5" s="12" t="n">
        <x:v>1.5</x:v>
      </x:c>
      <x:c r="O5" s="14" t="n">
        <x:v>0</x:v>
      </x:c>
      <x:c r="P5" s="14" t="n">
        <x:v>0.12</x:v>
      </x:c>
      <x:c r="Q5" s="14" t="n">
        <x:v>0.45</x:v>
      </x:c>
      <x:c r="R5" s="14" t="n">
        <x:v>0</x:v>
      </x:c>
      <x:c r="S5" s="12" t="n">
        <x:f>'参数'!$C$50</x:f>
        <x:v>4</x:v>
      </x:c>
      <x:c r="T5" s="12" t="n">
        <x:f>ROUND(G5*(1+'参数'!$C$19*(S5-1)),0)</x:f>
        <x:v>186</x:v>
      </x:c>
      <x:c r="U5" s="16" t="n">
        <x:f>ROUND(H5*(1+'参数'!$C$20*(S5-1)),2)</x:f>
        <x:v>16.52</x:v>
      </x:c>
      <x:c r="V5" s="16" t="n">
        <x:f>I5+'参数'!$C$21*(S5-1)</x:f>
        <x:v>14</x:v>
      </x:c>
      <x:c r="W5" s="16" t="n">
        <x:f>U5*J5*(1+M5*(N5-1))</x:f>
        <x:v>14.393049999999999</x:v>
      </x:c>
      <x:c r="X5" s="16" t="n">
        <x:f>IF(F5="PHY",W5*'参数'!$C$22/('参数'!$C$22+'参数'!$C$49),W5)</x:f>
        <x:v>11.071576923076922</x:v>
      </x:c>
      <x:c r="Y5" s="3" t="str">
        <x:v>MVP</x:v>
      </x:c>
    </x:row>
    <x:row r="6" ht="27" customHeight="1">
      <x:c r="A6" s="11" t="str">
        <x:v>U_SK_2A</x:v>
      </x:c>
      <x:c r="B6" s="11" t="str">
        <x:v>拒赔骨卫</x:v>
      </x:c>
      <x:c r="C6" s="11" t="str">
        <x:v>SK</x:v>
      </x:c>
      <x:c r="D6" s="13" t="n">
        <x:v>2</x:v>
      </x:c>
      <x:c r="E6" s="11" t="str">
        <x:v>A</x:v>
      </x:c>
      <x:c r="F6" s="11" t="str">
        <x:v>PHY</x:v>
      </x:c>
      <x:c r="G6" s="13" t="n">
        <x:v>205</x:v>
      </x:c>
      <x:c r="H6" s="13" t="n">
        <x:v>15</x:v>
      </x:c>
      <x:c r="I6" s="13" t="n">
        <x:v>12</x:v>
      </x:c>
      <x:c r="J6" s="13" t="n">
        <x:v>0.85</x:v>
      </x:c>
      <x:c r="K6" s="13" t="n">
        <x:v>2.1</x:v>
      </x:c>
      <x:c r="L6" s="13" t="n">
        <x:v>1.2</x:v>
      </x:c>
      <x:c r="M6" s="15" t="n">
        <x:v>0.05</x:v>
      </x:c>
      <x:c r="N6" s="13" t="n">
        <x:v>1.5</x:v>
      </x:c>
      <x:c r="O6" s="15" t="n">
        <x:v>0</x:v>
      </x:c>
      <x:c r="P6" s="15" t="n">
        <x:v>0.12</x:v>
      </x:c>
      <x:c r="Q6" s="15" t="n">
        <x:v>0.45</x:v>
      </x:c>
      <x:c r="R6" s="15" t="n">
        <x:v>0</x:v>
      </x:c>
      <x:c r="S6" s="13" t="n">
        <x:f>'参数'!$C$50</x:f>
        <x:v>4</x:v>
      </x:c>
      <x:c r="T6" s="13" t="n">
        <x:f>ROUND(G6*(1+'参数'!$C$19*(S6-1)),0)</x:f>
        <x:v>254</x:v>
      </x:c>
      <x:c r="U6" s="17" t="n">
        <x:f>ROUND(H6*(1+'参数'!$C$20*(S6-1)),2)</x:f>
        <x:v>17.7</x:v>
      </x:c>
      <x:c r="V6" s="17" t="n">
        <x:f>I6+'参数'!$C$21*(S6-1)</x:f>
        <x:v>18</x:v>
      </x:c>
      <x:c r="W6" s="17" t="n">
        <x:f>U6*J6*(1+M6*(N6-1))</x:f>
        <x:v>15.421124999999996</x:v>
      </x:c>
      <x:c r="X6" s="17" t="n">
        <x:f>IF(F6="PHY",W6*'参数'!$C$22/('参数'!$C$22+'参数'!$C$49),W6)</x:f>
        <x:v>11.862403846153844</x:v>
      </x:c>
      <x:c r="Y6" s="11" t="str">
        <x:v>MVP</x:v>
      </x:c>
    </x:row>
    <x:row r="7" ht="27" customHeight="1">
      <x:c r="A7" s="3" t="str">
        <x:v>U_SK_2B</x:v>
      </x:c>
      <x:c r="B7" s="3" t="str">
        <x:v>骨税弩吏</x:v>
      </x:c>
      <x:c r="C7" s="3" t="str">
        <x:v>SK</x:v>
      </x:c>
      <x:c r="D7" s="12" t="n">
        <x:v>2</x:v>
      </x:c>
      <x:c r="E7" s="3" t="str">
        <x:v>B</x:v>
      </x:c>
      <x:c r="F7" s="3" t="str">
        <x:v>PHY</x:v>
      </x:c>
      <x:c r="G7" s="12" t="n">
        <x:v>130</x:v>
      </x:c>
      <x:c r="H7" s="12" t="n">
        <x:v>18</x:v>
      </x:c>
      <x:c r="I7" s="12" t="n">
        <x:v>5</x:v>
      </x:c>
      <x:c r="J7" s="12" t="n">
        <x:v>1.05</x:v>
      </x:c>
      <x:c r="K7" s="12" t="n">
        <x:v>2.1</x:v>
      </x:c>
      <x:c r="L7" s="12" t="n">
        <x:v>6</x:v>
      </x:c>
      <x:c r="M7" s="14" t="n">
        <x:v>0.05</x:v>
      </x:c>
      <x:c r="N7" s="12" t="n">
        <x:v>1.5</x:v>
      </x:c>
      <x:c r="O7" s="14" t="n">
        <x:v>0</x:v>
      </x:c>
      <x:c r="P7" s="14" t="n">
        <x:v>0.12</x:v>
      </x:c>
      <x:c r="Q7" s="14" t="n">
        <x:v>0.45</x:v>
      </x:c>
      <x:c r="R7" s="14" t="n">
        <x:v>0</x:v>
      </x:c>
      <x:c r="S7" s="12" t="n">
        <x:f>'参数'!$C$50</x:f>
        <x:v>4</x:v>
      </x:c>
      <x:c r="T7" s="12" t="n">
        <x:f>ROUND(G7*(1+'参数'!$C$19*(S7-1)),0)</x:f>
        <x:v>161</x:v>
      </x:c>
      <x:c r="U7" s="16" t="n">
        <x:f>ROUND(H7*(1+'参数'!$C$20*(S7-1)),2)</x:f>
        <x:v>21.24</x:v>
      </x:c>
      <x:c r="V7" s="16" t="n">
        <x:f>I7+'参数'!$C$21*(S7-1)</x:f>
        <x:v>11</x:v>
      </x:c>
      <x:c r="W7" s="16" t="n">
        <x:f>U7*J7*(1+M7*(N7-1))</x:f>
        <x:v>22.85955</x:v>
      </x:c>
      <x:c r="X7" s="16" t="n">
        <x:f>IF(F7="PHY",W7*'参数'!$C$22/('参数'!$C$22+'参数'!$C$49),W7)</x:f>
        <x:v>17.58426923076923</x:v>
      </x:c>
      <x:c r="Y7" s="3" t="str">
        <x:v>Expansion</x:v>
      </x:c>
    </x:row>
    <x:row r="8" ht="27" customHeight="1">
      <x:c r="A8" s="11" t="str">
        <x:v>U_SK_3A</x:v>
      </x:c>
      <x:c r="B8" s="11" t="str">
        <x:v>骨阵审计长</x:v>
      </x:c>
      <x:c r="C8" s="11" t="str">
        <x:v>SK</x:v>
      </x:c>
      <x:c r="D8" s="13" t="n">
        <x:v>3</x:v>
      </x:c>
      <x:c r="E8" s="11" t="str">
        <x:v>A</x:v>
      </x:c>
      <x:c r="F8" s="11" t="str">
        <x:v>PHY</x:v>
      </x:c>
      <x:c r="G8" s="13" t="n">
        <x:v>245</x:v>
      </x:c>
      <x:c r="H8" s="13" t="n">
        <x:v>18</x:v>
      </x:c>
      <x:c r="I8" s="13" t="n">
        <x:v>14</x:v>
      </x:c>
      <x:c r="J8" s="13" t="n">
        <x:v>0.85</x:v>
      </x:c>
      <x:c r="K8" s="13" t="n">
        <x:v>2.1</x:v>
      </x:c>
      <x:c r="L8" s="13" t="n">
        <x:v>1.5</x:v>
      </x:c>
      <x:c r="M8" s="15" t="n">
        <x:v>0.05</x:v>
      </x:c>
      <x:c r="N8" s="13" t="n">
        <x:v>1.5</x:v>
      </x:c>
      <x:c r="O8" s="15" t="n">
        <x:v>0</x:v>
      </x:c>
      <x:c r="P8" s="15" t="n">
        <x:v>0.12</x:v>
      </x:c>
      <x:c r="Q8" s="15" t="n">
        <x:v>0.45</x:v>
      </x:c>
      <x:c r="R8" s="15" t="n">
        <x:v>0</x:v>
      </x:c>
      <x:c r="S8" s="13" t="n">
        <x:f>'参数'!$C$50</x:f>
        <x:v>4</x:v>
      </x:c>
      <x:c r="T8" s="13" t="n">
        <x:f>ROUND(G8*(1+'参数'!$C$19*(S8-1)),0)</x:f>
        <x:v>304</x:v>
      </x:c>
      <x:c r="U8" s="17" t="n">
        <x:f>ROUND(H8*(1+'参数'!$C$20*(S8-1)),2)</x:f>
        <x:v>21.24</x:v>
      </x:c>
      <x:c r="V8" s="17" t="n">
        <x:f>I8+'参数'!$C$21*(S8-1)</x:f>
        <x:v>20</x:v>
      </x:c>
      <x:c r="W8" s="17" t="n">
        <x:f>U8*J8*(1+M8*(N8-1))</x:f>
        <x:v>18.505349999999996</x:v>
      </x:c>
      <x:c r="X8" s="17" t="n">
        <x:f>IF(F8="PHY",W8*'参数'!$C$22/('参数'!$C$22+'参数'!$C$49),W8)</x:f>
        <x:v>14.234884615384612</x:v>
      </x:c>
      <x:c r="Y8" s="11" t="str">
        <x:v>MVP</x:v>
      </x:c>
    </x:row>
    <x:row r="9" ht="27" customHeight="1">
      <x:c r="A9" s="3" t="str">
        <x:v>U_SK_3B</x:v>
      </x:c>
      <x:c r="B9" s="3" t="str">
        <x:v>穿肋执行官</x:v>
      </x:c>
      <x:c r="C9" s="3" t="str">
        <x:v>SK</x:v>
      </x:c>
      <x:c r="D9" s="12" t="n">
        <x:v>3</x:v>
      </x:c>
      <x:c r="E9" s="3" t="str">
        <x:v>B</x:v>
      </x:c>
      <x:c r="F9" s="3" t="str">
        <x:v>PHY</x:v>
      </x:c>
      <x:c r="G9" s="12" t="n">
        <x:v>175</x:v>
      </x:c>
      <x:c r="H9" s="12" t="n">
        <x:v>24</x:v>
      </x:c>
      <x:c r="I9" s="12" t="n">
        <x:v>7</x:v>
      </x:c>
      <x:c r="J9" s="12" t="n">
        <x:v>0.8</x:v>
      </x:c>
      <x:c r="K9" s="12" t="n">
        <x:v>2.1</x:v>
      </x:c>
      <x:c r="L9" s="12" t="n">
        <x:v>7</x:v>
      </x:c>
      <x:c r="M9" s="14" t="n">
        <x:v>0.05</x:v>
      </x:c>
      <x:c r="N9" s="12" t="n">
        <x:v>1.5</x:v>
      </x:c>
      <x:c r="O9" s="14" t="n">
        <x:v>0</x:v>
      </x:c>
      <x:c r="P9" s="14" t="n">
        <x:v>0.12</x:v>
      </x:c>
      <x:c r="Q9" s="14" t="n">
        <x:v>0.45</x:v>
      </x:c>
      <x:c r="R9" s="14" t="n">
        <x:v>0</x:v>
      </x:c>
      <x:c r="S9" s="12" t="n">
        <x:f>'参数'!$C$50</x:f>
        <x:v>4</x:v>
      </x:c>
      <x:c r="T9" s="12" t="n">
        <x:f>ROUND(G9*(1+'参数'!$C$19*(S9-1)),0)</x:f>
        <x:v>217</x:v>
      </x:c>
      <x:c r="U9" s="16" t="n">
        <x:f>ROUND(H9*(1+'参数'!$C$20*(S9-1)),2)</x:f>
        <x:v>28.32</x:v>
      </x:c>
      <x:c r="V9" s="16" t="n">
        <x:f>I9+'参数'!$C$21*(S9-1)</x:f>
        <x:v>13</x:v>
      </x:c>
      <x:c r="W9" s="16" t="n">
        <x:f>U9*J9*(1+M9*(N9-1))</x:f>
        <x:v>23.2224</x:v>
      </x:c>
      <x:c r="X9" s="16" t="n">
        <x:f>IF(F9="PHY",W9*'参数'!$C$22/('参数'!$C$22+'参数'!$C$49),W9)</x:f>
        <x:v>17.863384615384618</x:v>
      </x:c>
      <x:c r="Y9" s="3" t="str">
        <x:v>Expansion</x:v>
      </x:c>
    </x:row>
    <x:row r="10" ht="27" customHeight="1">
      <x:c r="A10" s="11" t="str">
        <x:v>U_SK_4</x:v>
      </x:c>
      <x:c r="B10" s="11" t="str">
        <x:v>破产骨王</x:v>
      </x:c>
      <x:c r="C10" s="11" t="str">
        <x:v>SK</x:v>
      </x:c>
      <x:c r="D10" s="13" t="n">
        <x:v>4</x:v>
      </x:c>
      <x:c r="E10" s="11" t="str">
        <x:v>LORD</x:v>
      </x:c>
      <x:c r="F10" s="11" t="str">
        <x:v>PHY</x:v>
      </x:c>
      <x:c r="G10" s="13" t="n">
        <x:v>300</x:v>
      </x:c>
      <x:c r="H10" s="13" t="n">
        <x:v>26</x:v>
      </x:c>
      <x:c r="I10" s="13" t="n">
        <x:v>18</x:v>
      </x:c>
      <x:c r="J10" s="13" t="n">
        <x:v>0.8</x:v>
      </x:c>
      <x:c r="K10" s="13" t="n">
        <x:v>2.1</x:v>
      </x:c>
      <x:c r="L10" s="13" t="n">
        <x:v>2</x:v>
      </x:c>
      <x:c r="M10" s="15" t="n">
        <x:v>0.05</x:v>
      </x:c>
      <x:c r="N10" s="13" t="n">
        <x:v>1.5</x:v>
      </x:c>
      <x:c r="O10" s="15" t="n">
        <x:v>0</x:v>
      </x:c>
      <x:c r="P10" s="15" t="n">
        <x:v>0.12</x:v>
      </x:c>
      <x:c r="Q10" s="15" t="n">
        <x:v>0.45</x:v>
      </x:c>
      <x:c r="R10" s="15" t="n">
        <x:v>0</x:v>
      </x:c>
      <x:c r="S10" s="13" t="n">
        <x:f>'参数'!$C$50</x:f>
        <x:v>4</x:v>
      </x:c>
      <x:c r="T10" s="13" t="n">
        <x:f>ROUND(G10*(1+'参数'!$C$19*(S10-1)),0)</x:f>
        <x:v>372</x:v>
      </x:c>
      <x:c r="U10" s="17" t="n">
        <x:f>ROUND(H10*(1+'参数'!$C$20*(S10-1)),2)</x:f>
        <x:v>30.68</x:v>
      </x:c>
      <x:c r="V10" s="17" t="n">
        <x:f>I10+'参数'!$C$21*(S10-1)</x:f>
        <x:v>24</x:v>
      </x:c>
      <x:c r="W10" s="17" t="n">
        <x:f>U10*J10*(1+M10*(N10-1))</x:f>
        <x:v>25.1576</x:v>
      </x:c>
      <x:c r="X10" s="17" t="n">
        <x:f>IF(F10="PHY",W10*'参数'!$C$22/('参数'!$C$22+'参数'!$C$49),W10)</x:f>
        <x:v>19.351999999999997</x:v>
      </x:c>
      <x:c r="Y10" s="11" t="str">
        <x:v>MVP</x:v>
      </x:c>
    </x:row>
    <x:row r="11" ht="27" customHeight="1">
      <x:c r="A11" s="3" t="str">
        <x:v>U_ZM_1</x:v>
      </x:c>
      <x:c r="B11" s="3" t="str">
        <x:v>试用腐尸</x:v>
      </x:c>
      <x:c r="C11" s="3" t="str">
        <x:v>ZM</x:v>
      </x:c>
      <x:c r="D11" s="12" t="n">
        <x:v>1</x:v>
      </x:c>
      <x:c r="E11" s="3" t="str">
        <x:v>BASE</x:v>
      </x:c>
      <x:c r="F11" s="3" t="str">
        <x:v>PHY</x:v>
      </x:c>
      <x:c r="G11" s="12" t="n">
        <x:v>165</x:v>
      </x:c>
      <x:c r="H11" s="12" t="n">
        <x:v>13</x:v>
      </x:c>
      <x:c r="I11" s="12" t="n">
        <x:v>3</x:v>
      </x:c>
      <x:c r="J11" s="12" t="n">
        <x:v>0.7</x:v>
      </x:c>
      <x:c r="K11" s="12" t="n">
        <x:v>1.7</x:v>
      </x:c>
      <x:c r="L11" s="12" t="n">
        <x:v>1.1</x:v>
      </x:c>
      <x:c r="M11" s="14" t="n">
        <x:v>0.05</x:v>
      </x:c>
      <x:c r="N11" s="12" t="n">
        <x:v>1.5</x:v>
      </x:c>
      <x:c r="O11" s="14" t="n">
        <x:v>0.005</x:v>
      </x:c>
      <x:c r="P11" s="14" t="n">
        <x:v>0</x:v>
      </x:c>
      <x:c r="Q11" s="14" t="n">
        <x:v>0.4</x:v>
      </x:c>
      <x:c r="R11" s="14" t="n">
        <x:v>0</x:v>
      </x:c>
      <x:c r="S11" s="12" t="n">
        <x:f>'参数'!$C$50</x:f>
        <x:v>4</x:v>
      </x:c>
      <x:c r="T11" s="12" t="n">
        <x:f>ROUND(G11*(1+'参数'!$C$19*(S11-1)),0)</x:f>
        <x:v>205</x:v>
      </x:c>
      <x:c r="U11" s="16" t="n">
        <x:f>ROUND(H11*(1+'参数'!$C$20*(S11-1)),2)</x:f>
        <x:v>15.34</x:v>
      </x:c>
      <x:c r="V11" s="16" t="n">
        <x:f>I11+'参数'!$C$21*(S11-1)</x:f>
        <x:v>9</x:v>
      </x:c>
      <x:c r="W11" s="16" t="n">
        <x:f>U11*J11*(1+M11*(N11-1))</x:f>
        <x:v>11.00645</x:v>
      </x:c>
      <x:c r="X11" s="16" t="n">
        <x:f>IF(F11="PHY",W11*'参数'!$C$22/('参数'!$C$22+'参数'!$C$49),W11)</x:f>
        <x:v>8.4665</x:v>
      </x:c>
      <x:c r="Y11" s="3" t="str">
        <x:v>MVP</x:v>
      </x:c>
    </x:row>
    <x:row r="12" ht="27" customHeight="1">
      <x:c r="A12" s="11" t="str">
        <x:v>U_ZM_2A</x:v>
      </x:c>
      <x:c r="B12" s="11" t="str">
        <x:v>喷嚏播报员</x:v>
      </x:c>
      <x:c r="C12" s="11" t="str">
        <x:v>ZM</x:v>
      </x:c>
      <x:c r="D12" s="13" t="n">
        <x:v>2</x:v>
      </x:c>
      <x:c r="E12" s="11" t="str">
        <x:v>A</x:v>
      </x:c>
      <x:c r="F12" s="11" t="str">
        <x:v>MAG</x:v>
      </x:c>
      <x:c r="G12" s="13" t="n">
        <x:v>185</x:v>
      </x:c>
      <x:c r="H12" s="13" t="n">
        <x:v>15</x:v>
      </x:c>
      <x:c r="I12" s="13" t="n">
        <x:v>5</x:v>
      </x:c>
      <x:c r="J12" s="13" t="n">
        <x:v>0.75</x:v>
      </x:c>
      <x:c r="K12" s="13" t="n">
        <x:v>1.7</x:v>
      </x:c>
      <x:c r="L12" s="13" t="n">
        <x:v>3.5</x:v>
      </x:c>
      <x:c r="M12" s="15" t="n">
        <x:v>0.05</x:v>
      </x:c>
      <x:c r="N12" s="13" t="n">
        <x:v>1.5</x:v>
      </x:c>
      <x:c r="O12" s="15" t="n">
        <x:v>0.005</x:v>
      </x:c>
      <x:c r="P12" s="15" t="n">
        <x:v>0</x:v>
      </x:c>
      <x:c r="Q12" s="15" t="n">
        <x:v>0.4</x:v>
      </x:c>
      <x:c r="R12" s="15" t="n">
        <x:v>0</x:v>
      </x:c>
      <x:c r="S12" s="13" t="n">
        <x:f>'参数'!$C$50</x:f>
        <x:v>4</x:v>
      </x:c>
      <x:c r="T12" s="13" t="n">
        <x:f>ROUND(G12*(1+'参数'!$C$19*(S12-1)),0)</x:f>
        <x:v>229</x:v>
      </x:c>
      <x:c r="U12" s="17" t="n">
        <x:f>ROUND(H12*(1+'参数'!$C$20*(S12-1)),2)</x:f>
        <x:v>17.7</x:v>
      </x:c>
      <x:c r="V12" s="17" t="n">
        <x:f>I12+'参数'!$C$21*(S12-1)</x:f>
        <x:v>11</x:v>
      </x:c>
      <x:c r="W12" s="17" t="n">
        <x:f>U12*J12*(1+M12*(N12-1))</x:f>
        <x:v>13.606874999999997</x:v>
      </x:c>
      <x:c r="X12" s="17" t="n">
        <x:f>IF(F12="PHY",W12*'参数'!$C$22/('参数'!$C$22+'参数'!$C$49),W12)</x:f>
        <x:v>13.606874999999997</x:v>
      </x:c>
      <x:c r="Y12" s="11" t="str">
        <x:v>MVP</x:v>
      </x:c>
    </x:row>
    <x:row r="13" ht="27" customHeight="1">
      <x:c r="A13" s="3" t="str">
        <x:v>U_ZM_2B</x:v>
      </x:c>
      <x:c r="B13" s="3" t="str">
        <x:v>尸后护理员</x:v>
      </x:c>
      <x:c r="C13" s="3" t="str">
        <x:v>ZM</x:v>
      </x:c>
      <x:c r="D13" s="12" t="n">
        <x:v>2</x:v>
      </x:c>
      <x:c r="E13" s="3" t="str">
        <x:v>B</x:v>
      </x:c>
      <x:c r="F13" s="3" t="str">
        <x:v>PHY</x:v>
      </x:c>
      <x:c r="G13" s="12" t="n">
        <x:v>200</x:v>
      </x:c>
      <x:c r="H13" s="12" t="n">
        <x:v>13</x:v>
      </x:c>
      <x:c r="I13" s="12" t="n">
        <x:v>5</x:v>
      </x:c>
      <x:c r="J13" s="12" t="n">
        <x:v>0.7</x:v>
      </x:c>
      <x:c r="K13" s="12" t="n">
        <x:v>1.7</x:v>
      </x:c>
      <x:c r="L13" s="12" t="n">
        <x:v>2</x:v>
      </x:c>
      <x:c r="M13" s="14" t="n">
        <x:v>0.05</x:v>
      </x:c>
      <x:c r="N13" s="12" t="n">
        <x:v>1.5</x:v>
      </x:c>
      <x:c r="O13" s="14" t="n">
        <x:v>0.008</x:v>
      </x:c>
      <x:c r="P13" s="14" t="n">
        <x:v>0</x:v>
      </x:c>
      <x:c r="Q13" s="14" t="n">
        <x:v>0.4</x:v>
      </x:c>
      <x:c r="R13" s="14" t="n">
        <x:v>0</x:v>
      </x:c>
      <x:c r="S13" s="12" t="n">
        <x:f>'参数'!$C$50</x:f>
        <x:v>4</x:v>
      </x:c>
      <x:c r="T13" s="12" t="n">
        <x:f>ROUND(G13*(1+'参数'!$C$19*(S13-1)),0)</x:f>
        <x:v>248</x:v>
      </x:c>
      <x:c r="U13" s="16" t="n">
        <x:f>ROUND(H13*(1+'参数'!$C$20*(S13-1)),2)</x:f>
        <x:v>15.34</x:v>
      </x:c>
      <x:c r="V13" s="16" t="n">
        <x:f>I13+'参数'!$C$21*(S13-1)</x:f>
        <x:v>11</x:v>
      </x:c>
      <x:c r="W13" s="16" t="n">
        <x:f>U13*J13*(1+M13*(N13-1))</x:f>
        <x:v>11.00645</x:v>
      </x:c>
      <x:c r="X13" s="16" t="n">
        <x:f>IF(F13="PHY",W13*'参数'!$C$22/('参数'!$C$22+'参数'!$C$49),W13)</x:f>
        <x:v>8.4665</x:v>
      </x:c>
      <x:c r="Y13" s="3" t="str">
        <x:v>Expansion</x:v>
      </x:c>
    </x:row>
    <x:row r="14" ht="27" customHeight="1">
      <x:c r="A14" s="11" t="str">
        <x:v>U_ZM_3A</x:v>
      </x:c>
      <x:c r="B14" s="11" t="str">
        <x:v>腐败发言棺</x:v>
      </x:c>
      <x:c r="C14" s="11" t="str">
        <x:v>ZM</x:v>
      </x:c>
      <x:c r="D14" s="13" t="n">
        <x:v>3</x:v>
      </x:c>
      <x:c r="E14" s="11" t="str">
        <x:v>A</x:v>
      </x:c>
      <x:c r="F14" s="11" t="str">
        <x:v>MAG</x:v>
      </x:c>
      <x:c r="G14" s="13" t="n">
        <x:v>260</x:v>
      </x:c>
      <x:c r="H14" s="13" t="n">
        <x:v>18</x:v>
      </x:c>
      <x:c r="I14" s="13" t="n">
        <x:v>7</x:v>
      </x:c>
      <x:c r="J14" s="13" t="n">
        <x:v>0.7</x:v>
      </x:c>
      <x:c r="K14" s="13" t="n">
        <x:v>1.4</x:v>
      </x:c>
      <x:c r="L14" s="13" t="n">
        <x:v>3</x:v>
      </x:c>
      <x:c r="M14" s="15" t="n">
        <x:v>0.05</x:v>
      </x:c>
      <x:c r="N14" s="13" t="n">
        <x:v>1.5</x:v>
      </x:c>
      <x:c r="O14" s="15" t="n">
        <x:v>0.005</x:v>
      </x:c>
      <x:c r="P14" s="15" t="n">
        <x:v>0</x:v>
      </x:c>
      <x:c r="Q14" s="15" t="n">
        <x:v>0.4</x:v>
      </x:c>
      <x:c r="R14" s="15" t="n">
        <x:v>0</x:v>
      </x:c>
      <x:c r="S14" s="13" t="n">
        <x:f>'参数'!$C$50</x:f>
        <x:v>4</x:v>
      </x:c>
      <x:c r="T14" s="13" t="n">
        <x:f>ROUND(G14*(1+'参数'!$C$19*(S14-1)),0)</x:f>
        <x:v>322</x:v>
      </x:c>
      <x:c r="U14" s="17" t="n">
        <x:f>ROUND(H14*(1+'参数'!$C$20*(S14-1)),2)</x:f>
        <x:v>21.24</x:v>
      </x:c>
      <x:c r="V14" s="17" t="n">
        <x:f>I14+'参数'!$C$21*(S14-1)</x:f>
        <x:v>13</x:v>
      </x:c>
      <x:c r="W14" s="17" t="n">
        <x:f>U14*J14*(1+M14*(N14-1))</x:f>
        <x:v>15.239699999999997</x:v>
      </x:c>
      <x:c r="X14" s="17" t="n">
        <x:f>IF(F14="PHY",W14*'参数'!$C$22/('参数'!$C$22+'参数'!$C$49),W14)</x:f>
        <x:v>15.239699999999997</x:v>
      </x:c>
      <x:c r="Y14" s="11" t="str">
        <x:v>MVP</x:v>
      </x:c>
    </x:row>
    <x:row r="15" ht="27" customHeight="1">
      <x:c r="A15" s="3" t="str">
        <x:v>U_ZM_3B</x:v>
      </x:c>
      <x:c r="B15" s="3" t="str">
        <x:v>毒账核销师</x:v>
      </x:c>
      <x:c r="C15" s="3" t="str">
        <x:v>ZM</x:v>
      </x:c>
      <x:c r="D15" s="12" t="n">
        <x:v>3</x:v>
      </x:c>
      <x:c r="E15" s="3" t="str">
        <x:v>B</x:v>
      </x:c>
      <x:c r="F15" s="3" t="str">
        <x:v>MAG</x:v>
      </x:c>
      <x:c r="G15" s="12" t="n">
        <x:v>210</x:v>
      </x:c>
      <x:c r="H15" s="12" t="n">
        <x:v>23</x:v>
      </x:c>
      <x:c r="I15" s="12" t="n">
        <x:v>6</x:v>
      </x:c>
      <x:c r="J15" s="12" t="n">
        <x:v>0.85</x:v>
      </x:c>
      <x:c r="K15" s="12" t="n">
        <x:v>1.7</x:v>
      </x:c>
      <x:c r="L15" s="12" t="n">
        <x:v>4.5</x:v>
      </x:c>
      <x:c r="M15" s="14" t="n">
        <x:v>0.05</x:v>
      </x:c>
      <x:c r="N15" s="12" t="n">
        <x:v>1.5</x:v>
      </x:c>
      <x:c r="O15" s="14" t="n">
        <x:v>0.005</x:v>
      </x:c>
      <x:c r="P15" s="14" t="n">
        <x:v>0</x:v>
      </x:c>
      <x:c r="Q15" s="14" t="n">
        <x:v>0.4</x:v>
      </x:c>
      <x:c r="R15" s="14" t="n">
        <x:v>0</x:v>
      </x:c>
      <x:c r="S15" s="12" t="n">
        <x:f>'参数'!$C$50</x:f>
        <x:v>4</x:v>
      </x:c>
      <x:c r="T15" s="12" t="n">
        <x:f>ROUND(G15*(1+'参数'!$C$19*(S15-1)),0)</x:f>
        <x:v>260</x:v>
      </x:c>
      <x:c r="U15" s="16" t="n">
        <x:f>ROUND(H15*(1+'参数'!$C$20*(S15-1)),2)</x:f>
        <x:v>27.14</x:v>
      </x:c>
      <x:c r="V15" s="16" t="n">
        <x:f>I15+'参数'!$C$21*(S15-1)</x:f>
        <x:v>12</x:v>
      </x:c>
      <x:c r="W15" s="16" t="n">
        <x:f>U15*J15*(1+M15*(N15-1))</x:f>
        <x:v>23.645724999999995</x:v>
      </x:c>
      <x:c r="X15" s="16" t="n">
        <x:f>IF(F15="PHY",W15*'参数'!$C$22/('参数'!$C$22+'参数'!$C$49),W15)</x:f>
        <x:v>23.645724999999995</x:v>
      </x:c>
      <x:c r="Y15" s="3" t="str">
        <x:v>Expansion</x:v>
      </x:c>
    </x:row>
    <x:row r="16" ht="27" customHeight="1">
      <x:c r="A16" s="11" t="str">
        <x:v>U_ZM_4</x:v>
      </x:c>
      <x:c r="B16" s="11" t="str">
        <x:v>终身腐利院长</x:v>
      </x:c>
      <x:c r="C16" s="11" t="str">
        <x:v>ZM</x:v>
      </x:c>
      <x:c r="D16" s="13" t="n">
        <x:v>4</x:v>
      </x:c>
      <x:c r="E16" s="11" t="str">
        <x:v>LORD</x:v>
      </x:c>
      <x:c r="F16" s="11" t="str">
        <x:v>MAG</x:v>
      </x:c>
      <x:c r="G16" s="13" t="n">
        <x:v>330</x:v>
      </x:c>
      <x:c r="H16" s="13" t="n">
        <x:v>23</x:v>
      </x:c>
      <x:c r="I16" s="13" t="n">
        <x:v>10</x:v>
      </x:c>
      <x:c r="J16" s="13" t="n">
        <x:v>0.7</x:v>
      </x:c>
      <x:c r="K16" s="13" t="n">
        <x:v>1.7</x:v>
      </x:c>
      <x:c r="L16" s="13" t="n">
        <x:v>3</x:v>
      </x:c>
      <x:c r="M16" s="15" t="n">
        <x:v>0.05</x:v>
      </x:c>
      <x:c r="N16" s="13" t="n">
        <x:v>1.5</x:v>
      </x:c>
      <x:c r="O16" s="15" t="n">
        <x:v>0.008</x:v>
      </x:c>
      <x:c r="P16" s="15" t="n">
        <x:v>0</x:v>
      </x:c>
      <x:c r="Q16" s="15" t="n">
        <x:v>0.4</x:v>
      </x:c>
      <x:c r="R16" s="15" t="n">
        <x:v>0</x:v>
      </x:c>
      <x:c r="S16" s="13" t="n">
        <x:f>'参数'!$C$50</x:f>
        <x:v>4</x:v>
      </x:c>
      <x:c r="T16" s="13" t="n">
        <x:f>ROUND(G16*(1+'参数'!$C$19*(S16-1)),0)</x:f>
        <x:v>409</x:v>
      </x:c>
      <x:c r="U16" s="17" t="n">
        <x:f>ROUND(H16*(1+'参数'!$C$20*(S16-1)),2)</x:f>
        <x:v>27.14</x:v>
      </x:c>
      <x:c r="V16" s="17" t="n">
        <x:f>I16+'参数'!$C$21*(S16-1)</x:f>
        <x:v>16</x:v>
      </x:c>
      <x:c r="W16" s="17" t="n">
        <x:f>U16*J16*(1+M16*(N16-1))</x:f>
        <x:v>19.472949999999997</x:v>
      </x:c>
      <x:c r="X16" s="17" t="n">
        <x:f>IF(F16="PHY",W16*'参数'!$C$22/('参数'!$C$22+'参数'!$C$49),W16)</x:f>
        <x:v>19.472949999999997</x:v>
      </x:c>
      <x:c r="Y16" s="11" t="str">
        <x:v>MVP</x:v>
      </x:c>
    </x:row>
    <x:row r="17" ht="27" customHeight="1">
      <x:c r="A17" s="3" t="str">
        <x:v>U_HR_1</x:v>
      </x:c>
      <x:c r="B17" s="3" t="str">
        <x:v>迟到丧马</x:v>
      </x:c>
      <x:c r="C17" s="3" t="str">
        <x:v>HR</x:v>
      </x:c>
      <x:c r="D17" s="12" t="n">
        <x:v>1</x:v>
      </x:c>
      <x:c r="E17" s="3" t="str">
        <x:v>BASE</x:v>
      </x:c>
      <x:c r="F17" s="3" t="str">
        <x:v>PHY</x:v>
      </x:c>
      <x:c r="G17" s="12" t="n">
        <x:v>110</x:v>
      </x:c>
      <x:c r="H17" s="12" t="n">
        <x:v>17</x:v>
      </x:c>
      <x:c r="I17" s="12" t="n">
        <x:v>4</x:v>
      </x:c>
      <x:c r="J17" s="12" t="n">
        <x:v>0.9</x:v>
      </x:c>
      <x:c r="K17" s="12" t="n">
        <x:v>3.8</x:v>
      </x:c>
      <x:c r="L17" s="12" t="n">
        <x:v>1.4</x:v>
      </x:c>
      <x:c r="M17" s="14" t="n">
        <x:v>0.1</x:v>
      </x:c>
      <x:c r="N17" s="12" t="n">
        <x:v>1.5</x:v>
      </x:c>
      <x:c r="O17" s="14" t="n">
        <x:v>0</x:v>
      </x:c>
      <x:c r="P17" s="14" t="n">
        <x:v>0.05</x:v>
      </x:c>
      <x:c r="Q17" s="14" t="n">
        <x:v>0.4</x:v>
      </x:c>
      <x:c r="R17" s="14" t="n">
        <x:v>0</x:v>
      </x:c>
      <x:c r="S17" s="12" t="n">
        <x:f>'参数'!$C$50</x:f>
        <x:v>4</x:v>
      </x:c>
      <x:c r="T17" s="12" t="n">
        <x:f>ROUND(G17*(1+'参数'!$C$19*(S17-1)),0)</x:f>
        <x:v>136</x:v>
      </x:c>
      <x:c r="U17" s="16" t="n">
        <x:f>ROUND(H17*(1+'参数'!$C$20*(S17-1)),2)</x:f>
        <x:v>20.06</x:v>
      </x:c>
      <x:c r="V17" s="16" t="n">
        <x:f>I17+'参数'!$C$21*(S17-1)</x:f>
        <x:v>10</x:v>
      </x:c>
      <x:c r="W17" s="16" t="n">
        <x:f>U17*J17*(1+M17*(N17-1))</x:f>
        <x:v>18.956699999999998</x:v>
      </x:c>
      <x:c r="X17" s="16" t="n">
        <x:f>IF(F17="PHY",W17*'参数'!$C$22/('参数'!$C$22+'参数'!$C$49),W17)</x:f>
        <x:v>14.582076923076922</x:v>
      </x:c>
      <x:c r="Y17" s="3" t="str">
        <x:v>MVP</x:v>
      </x:c>
    </x:row>
    <x:row r="18" ht="27" customHeight="1">
      <x:c r="A18" s="11" t="str">
        <x:v>U_HR_2A</x:v>
      </x:c>
      <x:c r="B18" s="11" t="str">
        <x:v>拒收骨枪骑</x:v>
      </x:c>
      <x:c r="C18" s="11" t="str">
        <x:v>HR</x:v>
      </x:c>
      <x:c r="D18" s="13" t="n">
        <x:v>2</x:v>
      </x:c>
      <x:c r="E18" s="11" t="str">
        <x:v>A</x:v>
      </x:c>
      <x:c r="F18" s="11" t="str">
        <x:v>PHY</x:v>
      </x:c>
      <x:c r="G18" s="13" t="n">
        <x:v>155</x:v>
      </x:c>
      <x:c r="H18" s="13" t="n">
        <x:v>23</x:v>
      </x:c>
      <x:c r="I18" s="13" t="n">
        <x:v>7</x:v>
      </x:c>
      <x:c r="J18" s="13" t="n">
        <x:v>0.9</x:v>
      </x:c>
      <x:c r="K18" s="13" t="n">
        <x:v>4.2</x:v>
      </x:c>
      <x:c r="L18" s="13" t="n">
        <x:v>1.4</x:v>
      </x:c>
      <x:c r="M18" s="15" t="n">
        <x:v>0.1</x:v>
      </x:c>
      <x:c r="N18" s="13" t="n">
        <x:v>1.5</x:v>
      </x:c>
      <x:c r="O18" s="15" t="n">
        <x:v>0</x:v>
      </x:c>
      <x:c r="P18" s="15" t="n">
        <x:v>0.05</x:v>
      </x:c>
      <x:c r="Q18" s="15" t="n">
        <x:v>0.4</x:v>
      </x:c>
      <x:c r="R18" s="15" t="n">
        <x:v>0</x:v>
      </x:c>
      <x:c r="S18" s="13" t="n">
        <x:f>'参数'!$C$50</x:f>
        <x:v>4</x:v>
      </x:c>
      <x:c r="T18" s="13" t="n">
        <x:f>ROUND(G18*(1+'参数'!$C$19*(S18-1)),0)</x:f>
        <x:v>192</x:v>
      </x:c>
      <x:c r="U18" s="17" t="n">
        <x:f>ROUND(H18*(1+'参数'!$C$20*(S18-1)),2)</x:f>
        <x:v>27.14</x:v>
      </x:c>
      <x:c r="V18" s="17" t="n">
        <x:f>I18+'参数'!$C$21*(S18-1)</x:f>
        <x:v>13</x:v>
      </x:c>
      <x:c r="W18" s="17" t="n">
        <x:f>U18*J18*(1+M18*(N18-1))</x:f>
        <x:v>25.647300000000005</x:v>
      </x:c>
      <x:c r="X18" s="17" t="n">
        <x:f>IF(F18="PHY",W18*'参数'!$C$22/('参数'!$C$22+'参数'!$C$49),W18)</x:f>
        <x:v>19.728692307692313</x:v>
      </x:c>
      <x:c r="Y18" s="11" t="str">
        <x:v>MVP</x:v>
      </x:c>
    </x:row>
    <x:row r="19" ht="27" customHeight="1">
      <x:c r="A19" s="3" t="str">
        <x:v>U_HR_2B</x:v>
      </x:c>
      <x:c r="B19" s="3" t="str">
        <x:v>冷链灵柩马</x:v>
      </x:c>
      <x:c r="C19" s="3" t="str">
        <x:v>HR</x:v>
      </x:c>
      <x:c r="D19" s="12" t="n">
        <x:v>2</x:v>
      </x:c>
      <x:c r="E19" s="3" t="str">
        <x:v>B</x:v>
      </x:c>
      <x:c r="F19" s="3" t="str">
        <x:v>PHY</x:v>
      </x:c>
      <x:c r="G19" s="12" t="n">
        <x:v>155</x:v>
      </x:c>
      <x:c r="H19" s="12" t="n">
        <x:v>16</x:v>
      </x:c>
      <x:c r="I19" s="12" t="n">
        <x:v>8</x:v>
      </x:c>
      <x:c r="J19" s="12" t="n">
        <x:v>0.9</x:v>
      </x:c>
      <x:c r="K19" s="12" t="n">
        <x:v>3.6</x:v>
      </x:c>
      <x:c r="L19" s="12" t="n">
        <x:v>1.4</x:v>
      </x:c>
      <x:c r="M19" s="14" t="n">
        <x:v>0.1</x:v>
      </x:c>
      <x:c r="N19" s="12" t="n">
        <x:v>1.5</x:v>
      </x:c>
      <x:c r="O19" s="14" t="n">
        <x:v>0</x:v>
      </x:c>
      <x:c r="P19" s="14" t="n">
        <x:v>0.05</x:v>
      </x:c>
      <x:c r="Q19" s="14" t="n">
        <x:v>0.4</x:v>
      </x:c>
      <x:c r="R19" s="14" t="n">
        <x:v>0</x:v>
      </x:c>
      <x:c r="S19" s="12" t="n">
        <x:f>'参数'!$C$50</x:f>
        <x:v>4</x:v>
      </x:c>
      <x:c r="T19" s="12" t="n">
        <x:f>ROUND(G19*(1+'参数'!$C$19*(S19-1)),0)</x:f>
        <x:v>192</x:v>
      </x:c>
      <x:c r="U19" s="16" t="n">
        <x:f>ROUND(H19*(1+'参数'!$C$20*(S19-1)),2)</x:f>
        <x:v>18.88</x:v>
      </x:c>
      <x:c r="V19" s="16" t="n">
        <x:f>I19+'参数'!$C$21*(S19-1)</x:f>
        <x:v>14</x:v>
      </x:c>
      <x:c r="W19" s="16" t="n">
        <x:f>U19*J19*(1+M19*(N19-1))</x:f>
        <x:v>17.841600000000003</x:v>
      </x:c>
      <x:c r="X19" s="16" t="n">
        <x:f>IF(F19="PHY",W19*'参数'!$C$22/('参数'!$C$22+'参数'!$C$49),W19)</x:f>
        <x:v>13.724307692307695</x:v>
      </x:c>
      <x:c r="Y19" s="3" t="str">
        <x:v>Expansion</x:v>
      </x:c>
    </x:row>
    <x:row r="20" ht="27" customHeight="1">
      <x:c r="A20" s="11" t="str">
        <x:v>U_HR_3A</x:v>
      </x:c>
      <x:c r="B20" s="11" t="str">
        <x:v>追尾骨骑长</x:v>
      </x:c>
      <x:c r="C20" s="11" t="str">
        <x:v>HR</x:v>
      </x:c>
      <x:c r="D20" s="13" t="n">
        <x:v>3</x:v>
      </x:c>
      <x:c r="E20" s="11" t="str">
        <x:v>A</x:v>
      </x:c>
      <x:c r="F20" s="11" t="str">
        <x:v>PHY</x:v>
      </x:c>
      <x:c r="G20" s="13" t="n">
        <x:v>190</x:v>
      </x:c>
      <x:c r="H20" s="13" t="n">
        <x:v>27</x:v>
      </x:c>
      <x:c r="I20" s="13" t="n">
        <x:v>9</x:v>
      </x:c>
      <x:c r="J20" s="13" t="n">
        <x:v>0.9</x:v>
      </x:c>
      <x:c r="K20" s="13" t="n">
        <x:v>4.4</x:v>
      </x:c>
      <x:c r="L20" s="13" t="n">
        <x:v>1.4</x:v>
      </x:c>
      <x:c r="M20" s="15" t="n">
        <x:v>0.1</x:v>
      </x:c>
      <x:c r="N20" s="13" t="n">
        <x:v>1.5</x:v>
      </x:c>
      <x:c r="O20" s="15" t="n">
        <x:v>0</x:v>
      </x:c>
      <x:c r="P20" s="15" t="n">
        <x:v>0.05</x:v>
      </x:c>
      <x:c r="Q20" s="15" t="n">
        <x:v>0.4</x:v>
      </x:c>
      <x:c r="R20" s="15" t="n">
        <x:v>0</x:v>
      </x:c>
      <x:c r="S20" s="13" t="n">
        <x:f>'参数'!$C$50</x:f>
        <x:v>4</x:v>
      </x:c>
      <x:c r="T20" s="13" t="n">
        <x:f>ROUND(G20*(1+'参数'!$C$19*(S20-1)),0)</x:f>
        <x:v>236</x:v>
      </x:c>
      <x:c r="U20" s="17" t="n">
        <x:f>ROUND(H20*(1+'参数'!$C$20*(S20-1)),2)</x:f>
        <x:v>31.86</x:v>
      </x:c>
      <x:c r="V20" s="17" t="n">
        <x:f>I20+'参数'!$C$21*(S20-1)</x:f>
        <x:v>15</x:v>
      </x:c>
      <x:c r="W20" s="17" t="n">
        <x:f>U20*J20*(1+M20*(N20-1))</x:f>
        <x:v>30.1077</x:v>
      </x:c>
      <x:c r="X20" s="17" t="n">
        <x:f>IF(F20="PHY",W20*'参数'!$C$22/('参数'!$C$22+'参数'!$C$49),W20)</x:f>
        <x:v>23.159769230769232</x:v>
      </x:c>
      <x:c r="Y20" s="11" t="str">
        <x:v>MVP</x:v>
      </x:c>
    </x:row>
    <x:row r="21" ht="27" customHeight="1">
      <x:c r="A21" s="3" t="str">
        <x:v>U_HR_3B</x:v>
      </x:c>
      <x:c r="B21" s="3" t="str">
        <x:v>回魂驿站长</x:v>
      </x:c>
      <x:c r="C21" s="3" t="str">
        <x:v>HR</x:v>
      </x:c>
      <x:c r="D21" s="12" t="n">
        <x:v>3</x:v>
      </x:c>
      <x:c r="E21" s="3" t="str">
        <x:v>B</x:v>
      </x:c>
      <x:c r="F21" s="3" t="str">
        <x:v>PHY</x:v>
      </x:c>
      <x:c r="G21" s="12" t="n">
        <x:v>190</x:v>
      </x:c>
      <x:c r="H21" s="12" t="n">
        <x:v>20</x:v>
      </x:c>
      <x:c r="I21" s="12" t="n">
        <x:v>9</x:v>
      </x:c>
      <x:c r="J21" s="12" t="n">
        <x:v>0.9</x:v>
      </x:c>
      <x:c r="K21" s="12" t="n">
        <x:v>4</x:v>
      </x:c>
      <x:c r="L21" s="12" t="n">
        <x:v>1.4</x:v>
      </x:c>
      <x:c r="M21" s="14" t="n">
        <x:v>0.1</x:v>
      </x:c>
      <x:c r="N21" s="12" t="n">
        <x:v>1.5</x:v>
      </x:c>
      <x:c r="O21" s="14" t="n">
        <x:v>0</x:v>
      </x:c>
      <x:c r="P21" s="14" t="n">
        <x:v>0.05</x:v>
      </x:c>
      <x:c r="Q21" s="14" t="n">
        <x:v>0.4</x:v>
      </x:c>
      <x:c r="R21" s="14" t="n">
        <x:v>0</x:v>
      </x:c>
      <x:c r="S21" s="12" t="n">
        <x:f>'参数'!$C$50</x:f>
        <x:v>4</x:v>
      </x:c>
      <x:c r="T21" s="12" t="n">
        <x:f>ROUND(G21*(1+'参数'!$C$19*(S21-1)),0)</x:f>
        <x:v>236</x:v>
      </x:c>
      <x:c r="U21" s="16" t="n">
        <x:f>ROUND(H21*(1+'参数'!$C$20*(S21-1)),2)</x:f>
        <x:v>23.6</x:v>
      </x:c>
      <x:c r="V21" s="16" t="n">
        <x:f>I21+'参数'!$C$21*(S21-1)</x:f>
        <x:v>15</x:v>
      </x:c>
      <x:c r="W21" s="16" t="n">
        <x:f>U21*J21*(1+M21*(N21-1))</x:f>
        <x:v>22.302000000000003</x:v>
      </x:c>
      <x:c r="X21" s="16" t="n">
        <x:f>IF(F21="PHY",W21*'参数'!$C$22/('参数'!$C$22+'参数'!$C$49),W21)</x:f>
        <x:v>17.155384615384616</x:v>
      </x:c>
      <x:c r="Y21" s="3" t="str">
        <x:v>Expansion</x:v>
      </x:c>
    </x:row>
    <x:row r="22" ht="27" customHeight="1">
      <x:c r="A22" s="11" t="str">
        <x:v>U_HR_4</x:v>
      </x:c>
      <x:c r="B22" s="11" t="str">
        <x:v>末班灵车王</x:v>
      </x:c>
      <x:c r="C22" s="11" t="str">
        <x:v>HR</x:v>
      </x:c>
      <x:c r="D22" s="13" t="n">
        <x:v>4</x:v>
      </x:c>
      <x:c r="E22" s="11" t="str">
        <x:v>LORD</x:v>
      </x:c>
      <x:c r="F22" s="11" t="str">
        <x:v>PHY</x:v>
      </x:c>
      <x:c r="G22" s="13" t="n">
        <x:v>245</x:v>
      </x:c>
      <x:c r="H22" s="13" t="n">
        <x:v>30</x:v>
      </x:c>
      <x:c r="I22" s="13" t="n">
        <x:v>13</x:v>
      </x:c>
      <x:c r="J22" s="13" t="n">
        <x:v>0.9</x:v>
      </x:c>
      <x:c r="K22" s="13" t="n">
        <x:v>4.3</x:v>
      </x:c>
      <x:c r="L22" s="13" t="n">
        <x:v>1.8</x:v>
      </x:c>
      <x:c r="M22" s="15" t="n">
        <x:v>0.1</x:v>
      </x:c>
      <x:c r="N22" s="13" t="n">
        <x:v>1.5</x:v>
      </x:c>
      <x:c r="O22" s="15" t="n">
        <x:v>0</x:v>
      </x:c>
      <x:c r="P22" s="15" t="n">
        <x:v>0.05</x:v>
      </x:c>
      <x:c r="Q22" s="15" t="n">
        <x:v>0.4</x:v>
      </x:c>
      <x:c r="R22" s="15" t="n">
        <x:v>0</x:v>
      </x:c>
      <x:c r="S22" s="13" t="n">
        <x:f>'参数'!$C$50</x:f>
        <x:v>4</x:v>
      </x:c>
      <x:c r="T22" s="13" t="n">
        <x:f>ROUND(G22*(1+'参数'!$C$19*(S22-1)),0)</x:f>
        <x:v>304</x:v>
      </x:c>
      <x:c r="U22" s="17" t="n">
        <x:f>ROUND(H22*(1+'参数'!$C$20*(S22-1)),2)</x:f>
        <x:v>35.4</x:v>
      </x:c>
      <x:c r="V22" s="17" t="n">
        <x:f>I22+'参数'!$C$21*(S22-1)</x:f>
        <x:v>19</x:v>
      </x:c>
      <x:c r="W22" s="17" t="n">
        <x:f>U22*J22*(1+M22*(N22-1))</x:f>
        <x:v>33.453</x:v>
      </x:c>
      <x:c r="X22" s="17" t="n">
        <x:f>IF(F22="PHY",W22*'参数'!$C$22/('参数'!$C$22+'参数'!$C$49),W22)</x:f>
        <x:v>25.733076923076926</x:v>
      </x:c>
      <x:c r="Y22" s="11" t="str">
        <x:v>MVP</x:v>
      </x:c>
    </x:row>
    <x:row r="23" ht="27" customHeight="1">
      <x:c r="A23" s="3" t="str">
        <x:v>U_HD_1</x:v>
      </x:c>
      <x:c r="B23" s="3" t="str">
        <x:v>单手临时工</x:v>
      </x:c>
      <x:c r="C23" s="3" t="str">
        <x:v>HD</x:v>
      </x:c>
      <x:c r="D23" s="12" t="n">
        <x:v>1</x:v>
      </x:c>
      <x:c r="E23" s="3" t="str">
        <x:v>BASE</x:v>
      </x:c>
      <x:c r="F23" s="3" t="str">
        <x:v>PHY</x:v>
      </x:c>
      <x:c r="G23" s="12" t="n">
        <x:v>80</x:v>
      </x:c>
      <x:c r="H23" s="12" t="n">
        <x:v>9</x:v>
      </x:c>
      <x:c r="I23" s="12" t="n">
        <x:v>1</x:v>
      </x:c>
      <x:c r="J23" s="12" t="n">
        <x:v>1.5</x:v>
      </x:c>
      <x:c r="K23" s="12" t="n">
        <x:v>3.3</x:v>
      </x:c>
      <x:c r="L23" s="12" t="n">
        <x:v>0.8</x:v>
      </x:c>
      <x:c r="M23" s="14" t="n">
        <x:v>0.1</x:v>
      </x:c>
      <x:c r="N23" s="12" t="n">
        <x:v>1.5</x:v>
      </x:c>
      <x:c r="O23" s="14" t="n">
        <x:v>0</x:v>
      </x:c>
      <x:c r="P23" s="14" t="n">
        <x:v>0</x:v>
      </x:c>
      <x:c r="Q23" s="14" t="n">
        <x:v>0.4</x:v>
      </x:c>
      <x:c r="R23" s="14" t="n">
        <x:v>0</x:v>
      </x:c>
      <x:c r="S23" s="12" t="n">
        <x:f>'参数'!$C$50</x:f>
        <x:v>4</x:v>
      </x:c>
      <x:c r="T23" s="12" t="n">
        <x:f>ROUND(G23*(1+'参数'!$C$19*(S23-1)),0)</x:f>
        <x:v>99</x:v>
      </x:c>
      <x:c r="U23" s="16" t="n">
        <x:f>ROUND(H23*(1+'参数'!$C$20*(S23-1)),2)</x:f>
        <x:v>10.62</x:v>
      </x:c>
      <x:c r="V23" s="16" t="n">
        <x:f>I23+'参数'!$C$21*(S23-1)</x:f>
        <x:v>7</x:v>
      </x:c>
      <x:c r="W23" s="16" t="n">
        <x:f>U23*J23*(1+M23*(N23-1))</x:f>
        <x:v>16.7265</x:v>
      </x:c>
      <x:c r="X23" s="16" t="n">
        <x:f>IF(F23="PHY",W23*'参数'!$C$22/('参数'!$C$22+'参数'!$C$49),W23)</x:f>
        <x:v>12.866538461538463</x:v>
      </x:c>
      <x:c r="Y23" s="3" t="str">
        <x:v>Expansion</x:v>
      </x:c>
    </x:row>
    <x:row r="24" ht="27" customHeight="1">
      <x:c r="A24" s="11" t="str">
        <x:v>U_HD_2A</x:v>
      </x:c>
      <x:c r="B24" s="11" t="str">
        <x:v>拆指包工头</x:v>
      </x:c>
      <x:c r="C24" s="11" t="str">
        <x:v>HD</x:v>
      </x:c>
      <x:c r="D24" s="13" t="n">
        <x:v>2</x:v>
      </x:c>
      <x:c r="E24" s="11" t="str">
        <x:v>A</x:v>
      </x:c>
      <x:c r="F24" s="11" t="str">
        <x:v>PHY</x:v>
      </x:c>
      <x:c r="G24" s="13" t="n">
        <x:v>115</x:v>
      </x:c>
      <x:c r="H24" s="13" t="n">
        <x:v>12</x:v>
      </x:c>
      <x:c r="I24" s="13" t="n">
        <x:v>3</x:v>
      </x:c>
      <x:c r="J24" s="13" t="n">
        <x:v>1.2</x:v>
      </x:c>
      <x:c r="K24" s="13" t="n">
        <x:v>3.3</x:v>
      </x:c>
      <x:c r="L24" s="13" t="n">
        <x:v>0.8</x:v>
      </x:c>
      <x:c r="M24" s="15" t="n">
        <x:v>0.1</x:v>
      </x:c>
      <x:c r="N24" s="13" t="n">
        <x:v>1.5</x:v>
      </x:c>
      <x:c r="O24" s="15" t="n">
        <x:v>0</x:v>
      </x:c>
      <x:c r="P24" s="15" t="n">
        <x:v>0</x:v>
      </x:c>
      <x:c r="Q24" s="15" t="n">
        <x:v>0.4</x:v>
      </x:c>
      <x:c r="R24" s="15" t="n">
        <x:v>0</x:v>
      </x:c>
      <x:c r="S24" s="13" t="n">
        <x:f>'参数'!$C$50</x:f>
        <x:v>4</x:v>
      </x:c>
      <x:c r="T24" s="13" t="n">
        <x:f>ROUND(G24*(1+'参数'!$C$19*(S24-1)),0)</x:f>
        <x:v>143</x:v>
      </x:c>
      <x:c r="U24" s="17" t="n">
        <x:f>ROUND(H24*(1+'参数'!$C$20*(S24-1)),2)</x:f>
        <x:v>14.16</x:v>
      </x:c>
      <x:c r="V24" s="17" t="n">
        <x:f>I24+'参数'!$C$21*(S24-1)</x:f>
        <x:v>9</x:v>
      </x:c>
      <x:c r="W24" s="17" t="n">
        <x:f>U24*J24*(1+M24*(N24-1))</x:f>
        <x:v>17.841600000000003</x:v>
      </x:c>
      <x:c r="X24" s="17" t="n">
        <x:f>IF(F24="PHY",W24*'参数'!$C$22/('参数'!$C$22+'参数'!$C$49),W24)</x:f>
        <x:v>13.724307692307695</x:v>
      </x:c>
      <x:c r="Y24" s="11" t="str">
        <x:v>Expansion</x:v>
      </x:c>
    </x:row>
    <x:row r="25" ht="27" customHeight="1">
      <x:c r="A25" s="3" t="str">
        <x:v>U_HD_2B</x:v>
      </x:c>
      <x:c r="B25" s="3" t="str">
        <x:v>漏电接线手</x:v>
      </x:c>
      <x:c r="C25" s="3" t="str">
        <x:v>HD</x:v>
      </x:c>
      <x:c r="D25" s="12" t="n">
        <x:v>2</x:v>
      </x:c>
      <x:c r="E25" s="3" t="str">
        <x:v>B</x:v>
      </x:c>
      <x:c r="F25" s="3" t="str">
        <x:v>MAG</x:v>
      </x:c>
      <x:c r="G25" s="12" t="n">
        <x:v>100</x:v>
      </x:c>
      <x:c r="H25" s="12" t="n">
        <x:v>14</x:v>
      </x:c>
      <x:c r="I25" s="12" t="n">
        <x:v>3</x:v>
      </x:c>
      <x:c r="J25" s="12" t="n">
        <x:v>1.1</x:v>
      </x:c>
      <x:c r="K25" s="12" t="n">
        <x:v>3.3</x:v>
      </x:c>
      <x:c r="L25" s="12" t="n">
        <x:v>4.5</x:v>
      </x:c>
      <x:c r="M25" s="14" t="n">
        <x:v>0.1</x:v>
      </x:c>
      <x:c r="N25" s="12" t="n">
        <x:v>1.5</x:v>
      </x:c>
      <x:c r="O25" s="14" t="n">
        <x:v>0</x:v>
      </x:c>
      <x:c r="P25" s="14" t="n">
        <x:v>0</x:v>
      </x:c>
      <x:c r="Q25" s="14" t="n">
        <x:v>0.4</x:v>
      </x:c>
      <x:c r="R25" s="14" t="n">
        <x:v>0</x:v>
      </x:c>
      <x:c r="S25" s="12" t="n">
        <x:f>'参数'!$C$50</x:f>
        <x:v>4</x:v>
      </x:c>
      <x:c r="T25" s="12" t="n">
        <x:f>ROUND(G25*(1+'参数'!$C$19*(S25-1)),0)</x:f>
        <x:v>124</x:v>
      </x:c>
      <x:c r="U25" s="16" t="n">
        <x:f>ROUND(H25*(1+'参数'!$C$20*(S25-1)),2)</x:f>
        <x:v>16.52</x:v>
      </x:c>
      <x:c r="V25" s="16" t="n">
        <x:f>I25+'参数'!$C$21*(S25-1)</x:f>
        <x:v>9</x:v>
      </x:c>
      <x:c r="W25" s="16" t="n">
        <x:f>U25*J25*(1+M25*(N25-1))</x:f>
        <x:v>19.0806</x:v>
      </x:c>
      <x:c r="X25" s="16" t="n">
        <x:f>IF(F25="PHY",W25*'参数'!$C$22/('参数'!$C$22+'参数'!$C$49),W25)</x:f>
        <x:v>19.0806</x:v>
      </x:c>
      <x:c r="Y25" s="3" t="str">
        <x:v>Expansion</x:v>
      </x:c>
    </x:row>
    <x:row r="26" ht="27" customHeight="1">
      <x:c r="A26" s="11" t="str">
        <x:v>U_HD_3A</x:v>
      </x:c>
      <x:c r="B26" s="11" t="str">
        <x:v>千手裁员官</x:v>
      </x:c>
      <x:c r="C26" s="11" t="str">
        <x:v>HD</x:v>
      </x:c>
      <x:c r="D26" s="13" t="n">
        <x:v>3</x:v>
      </x:c>
      <x:c r="E26" s="11" t="str">
        <x:v>A</x:v>
      </x:c>
      <x:c r="F26" s="11" t="str">
        <x:v>PHY</x:v>
      </x:c>
      <x:c r="G26" s="13" t="n">
        <x:v>150</x:v>
      </x:c>
      <x:c r="H26" s="13" t="n">
        <x:v>17</x:v>
      </x:c>
      <x:c r="I26" s="13" t="n">
        <x:v>5</x:v>
      </x:c>
      <x:c r="J26" s="13" t="n">
        <x:v>1.3</x:v>
      </x:c>
      <x:c r="K26" s="13" t="n">
        <x:v>3.3</x:v>
      </x:c>
      <x:c r="L26" s="13" t="n">
        <x:v>1</x:v>
      </x:c>
      <x:c r="M26" s="15" t="n">
        <x:v>0.1</x:v>
      </x:c>
      <x:c r="N26" s="13" t="n">
        <x:v>1.5</x:v>
      </x:c>
      <x:c r="O26" s="15" t="n">
        <x:v>0</x:v>
      </x:c>
      <x:c r="P26" s="15" t="n">
        <x:v>0</x:v>
      </x:c>
      <x:c r="Q26" s="15" t="n">
        <x:v>0.4</x:v>
      </x:c>
      <x:c r="R26" s="15" t="n">
        <x:v>0</x:v>
      </x:c>
      <x:c r="S26" s="13" t="n">
        <x:f>'参数'!$C$50</x:f>
        <x:v>4</x:v>
      </x:c>
      <x:c r="T26" s="13" t="n">
        <x:f>ROUND(G26*(1+'参数'!$C$19*(S26-1)),0)</x:f>
        <x:v>186</x:v>
      </x:c>
      <x:c r="U26" s="17" t="n">
        <x:f>ROUND(H26*(1+'参数'!$C$20*(S26-1)),2)</x:f>
        <x:v>20.06</x:v>
      </x:c>
      <x:c r="V26" s="17" t="n">
        <x:f>I26+'参数'!$C$21*(S26-1)</x:f>
        <x:v>11</x:v>
      </x:c>
      <x:c r="W26" s="17" t="n">
        <x:f>U26*J26*(1+M26*(N26-1))</x:f>
        <x:v>27.3819</x:v>
      </x:c>
      <x:c r="X26" s="17" t="n">
        <x:f>IF(F26="PHY",W26*'参数'!$C$22/('参数'!$C$22+'参数'!$C$49),W26)</x:f>
        <x:v>21.063</x:v>
      </x:c>
      <x:c r="Y26" s="11" t="str">
        <x:v>Expansion</x:v>
      </x:c>
    </x:row>
    <x:row r="27" ht="27" customHeight="1">
      <x:c r="A27" s="3" t="str">
        <x:v>U_HD_3B</x:v>
      </x:c>
      <x:c r="B27" s="3" t="str">
        <x:v>抹账断腕</x:v>
      </x:c>
      <x:c r="C27" s="3" t="str">
        <x:v>HD</x:v>
      </x:c>
      <x:c r="D27" s="12" t="n">
        <x:v>3</x:v>
      </x:c>
      <x:c r="E27" s="3" t="str">
        <x:v>B</x:v>
      </x:c>
      <x:c r="F27" s="3" t="str">
        <x:v>PHY</x:v>
      </x:c>
      <x:c r="G27" s="12" t="n">
        <x:v>155</x:v>
      </x:c>
      <x:c r="H27" s="12" t="n">
        <x:v>23</x:v>
      </x:c>
      <x:c r="I27" s="12" t="n">
        <x:v>5</x:v>
      </x:c>
      <x:c r="J27" s="12" t="n">
        <x:v>1.2</x:v>
      </x:c>
      <x:c r="K27" s="12" t="n">
        <x:v>3.3</x:v>
      </x:c>
      <x:c r="L27" s="12" t="n">
        <x:v>1.1</x:v>
      </x:c>
      <x:c r="M27" s="14" t="n">
        <x:v>0.15</x:v>
      </x:c>
      <x:c r="N27" s="12" t="n">
        <x:v>1.5</x:v>
      </x:c>
      <x:c r="O27" s="14" t="n">
        <x:v>0</x:v>
      </x:c>
      <x:c r="P27" s="14" t="n">
        <x:v>0</x:v>
      </x:c>
      <x:c r="Q27" s="14" t="n">
        <x:v>0.4</x:v>
      </x:c>
      <x:c r="R27" s="14" t="n">
        <x:v>0</x:v>
      </x:c>
      <x:c r="S27" s="12" t="n">
        <x:f>'参数'!$C$50</x:f>
        <x:v>4</x:v>
      </x:c>
      <x:c r="T27" s="12" t="n">
        <x:f>ROUND(G27*(1+'参数'!$C$19*(S27-1)),0)</x:f>
        <x:v>192</x:v>
      </x:c>
      <x:c r="U27" s="16" t="n">
        <x:f>ROUND(H27*(1+'参数'!$C$20*(S27-1)),2)</x:f>
        <x:v>27.14</x:v>
      </x:c>
      <x:c r="V27" s="16" t="n">
        <x:f>I27+'参数'!$C$21*(S27-1)</x:f>
        <x:v>11</x:v>
      </x:c>
      <x:c r="W27" s="16" t="n">
        <x:f>U27*J27*(1+M27*(N27-1))</x:f>
        <x:v>35.0106</x:v>
      </x:c>
      <x:c r="X27" s="16" t="n">
        <x:f>IF(F27="PHY",W27*'参数'!$C$22/('参数'!$C$22+'参数'!$C$49),W27)</x:f>
        <x:v>26.931230769230766</x:v>
      </x:c>
      <x:c r="Y27" s="3" t="str">
        <x:v>Expansion</x:v>
      </x:c>
    </x:row>
    <x:row r="28" ht="27" customHeight="1">
      <x:c r="A28" s="11" t="str">
        <x:v>U_HD_4</x:v>
      </x:c>
      <x:c r="B28" s="11" t="str">
        <x:v>十指董事会</x:v>
      </x:c>
      <x:c r="C28" s="11" t="str">
        <x:v>HD</x:v>
      </x:c>
      <x:c r="D28" s="13" t="n">
        <x:v>4</x:v>
      </x:c>
      <x:c r="E28" s="11" t="str">
        <x:v>LORD</x:v>
      </x:c>
      <x:c r="F28" s="11" t="str">
        <x:v>PHY</x:v>
      </x:c>
      <x:c r="G28" s="13" t="n">
        <x:v>210</x:v>
      </x:c>
      <x:c r="H28" s="13" t="n">
        <x:v>24</x:v>
      </x:c>
      <x:c r="I28" s="13" t="n">
        <x:v>8</x:v>
      </x:c>
      <x:c r="J28" s="13" t="n">
        <x:v>1.25</x:v>
      </x:c>
      <x:c r="K28" s="13" t="n">
        <x:v>3.3</x:v>
      </x:c>
      <x:c r="L28" s="13" t="n">
        <x:v>2</x:v>
      </x:c>
      <x:c r="M28" s="15" t="n">
        <x:v>0.1</x:v>
      </x:c>
      <x:c r="N28" s="13" t="n">
        <x:v>1.5</x:v>
      </x:c>
      <x:c r="O28" s="15" t="n">
        <x:v>0</x:v>
      </x:c>
      <x:c r="P28" s="15" t="n">
        <x:v>0</x:v>
      </x:c>
      <x:c r="Q28" s="15" t="n">
        <x:v>0.4</x:v>
      </x:c>
      <x:c r="R28" s="15" t="n">
        <x:v>0</x:v>
      </x:c>
      <x:c r="S28" s="13" t="n">
        <x:f>'参数'!$C$50</x:f>
        <x:v>4</x:v>
      </x:c>
      <x:c r="T28" s="13" t="n">
        <x:f>ROUND(G28*(1+'参数'!$C$19*(S28-1)),0)</x:f>
        <x:v>260</x:v>
      </x:c>
      <x:c r="U28" s="17" t="n">
        <x:f>ROUND(H28*(1+'参数'!$C$20*(S28-1)),2)</x:f>
        <x:v>28.32</x:v>
      </x:c>
      <x:c r="V28" s="17" t="n">
        <x:f>I28+'参数'!$C$21*(S28-1)</x:f>
        <x:v>14</x:v>
      </x:c>
      <x:c r="W28" s="17" t="n">
        <x:f>U28*J28*(1+M28*(N28-1))</x:f>
        <x:v>37.17</x:v>
      </x:c>
      <x:c r="X28" s="17" t="n">
        <x:f>IF(F28="PHY",W28*'参数'!$C$22/('参数'!$C$22+'参数'!$C$49),W28)</x:f>
        <x:v>28.592307692307692</x:v>
      </x:c>
      <x:c r="Y28" s="11" t="str">
        <x:v>Expansion</x:v>
      </x:c>
    </x:row>
    <x:row r="29" ht="27" customHeight="1">
      <x:c r="A29" s="3" t="str">
        <x:v>U_BL_1</x:v>
      </x:c>
      <x:c r="B29" s="3" t="str">
        <x:v>骨铃实习生</x:v>
      </x:c>
      <x:c r="C29" s="3" t="str">
        <x:v>BL</x:v>
      </x:c>
      <x:c r="D29" s="12" t="n">
        <x:v>1</x:v>
      </x:c>
      <x:c r="E29" s="3" t="str">
        <x:v>BASE</x:v>
      </x:c>
      <x:c r="F29" s="3" t="str">
        <x:v>MAG</x:v>
      </x:c>
      <x:c r="G29" s="12" t="n">
        <x:v>95</x:v>
      </x:c>
      <x:c r="H29" s="12" t="n">
        <x:v>12</x:v>
      </x:c>
      <x:c r="I29" s="12" t="n">
        <x:v>2</x:v>
      </x:c>
      <x:c r="J29" s="12" t="n">
        <x:v>0.85</x:v>
      </x:c>
      <x:c r="K29" s="12" t="n">
        <x:v>2.2</x:v>
      </x:c>
      <x:c r="L29" s="12" t="n">
        <x:v>5</x:v>
      </x:c>
      <x:c r="M29" s="14" t="n">
        <x:v>0.05</x:v>
      </x:c>
      <x:c r="N29" s="12" t="n">
        <x:v>1.5</x:v>
      </x:c>
      <x:c r="O29" s="14" t="n">
        <x:v>0</x:v>
      </x:c>
      <x:c r="P29" s="14" t="n">
        <x:v>0</x:v>
      </x:c>
      <x:c r="Q29" s="14" t="n">
        <x:v>0.4</x:v>
      </x:c>
      <x:c r="R29" s="14" t="n">
        <x:v>0</x:v>
      </x:c>
      <x:c r="S29" s="12" t="n">
        <x:f>'参数'!$C$50</x:f>
        <x:v>4</x:v>
      </x:c>
      <x:c r="T29" s="12" t="n">
        <x:f>ROUND(G29*(1+'参数'!$C$19*(S29-1)),0)</x:f>
        <x:v>118</x:v>
      </x:c>
      <x:c r="U29" s="16" t="n">
        <x:f>ROUND(H29*(1+'参数'!$C$20*(S29-1)),2)</x:f>
        <x:v>14.16</x:v>
      </x:c>
      <x:c r="V29" s="16" t="n">
        <x:f>I29+'参数'!$C$21*(S29-1)</x:f>
        <x:v>8</x:v>
      </x:c>
      <x:c r="W29" s="16" t="n">
        <x:f>U29*J29*(1+M29*(N29-1))</x:f>
        <x:v>12.336899999999998</x:v>
      </x:c>
      <x:c r="X29" s="16" t="n">
        <x:f>IF(F29="PHY",W29*'参数'!$C$22/('参数'!$C$22+'参数'!$C$49),W29)</x:f>
        <x:v>12.336899999999998</x:v>
      </x:c>
      <x:c r="Y29" s="3" t="str">
        <x:v>MVP</x:v>
      </x:c>
    </x:row>
    <x:row r="30" ht="27" customHeight="1">
      <x:c r="A30" s="11" t="str">
        <x:v>U_BL_2A</x:v>
      </x:c>
      <x:c r="B30" s="11" t="str">
        <x:v>报丧修复师</x:v>
      </x:c>
      <x:c r="C30" s="11" t="str">
        <x:v>BL</x:v>
      </x:c>
      <x:c r="D30" s="13" t="n">
        <x:v>2</x:v>
      </x:c>
      <x:c r="E30" s="11" t="str">
        <x:v>A</x:v>
      </x:c>
      <x:c r="F30" s="11" t="str">
        <x:v>MAG</x:v>
      </x:c>
      <x:c r="G30" s="13" t="n">
        <x:v>125</x:v>
      </x:c>
      <x:c r="H30" s="13" t="n">
        <x:v>15</x:v>
      </x:c>
      <x:c r="I30" s="13" t="n">
        <x:v>4</x:v>
      </x:c>
      <x:c r="J30" s="13" t="n">
        <x:v>0.85</x:v>
      </x:c>
      <x:c r="K30" s="13" t="n">
        <x:v>2.2</x:v>
      </x:c>
      <x:c r="L30" s="13" t="n">
        <x:v>5.5</x:v>
      </x:c>
      <x:c r="M30" s="15" t="n">
        <x:v>0.05</x:v>
      </x:c>
      <x:c r="N30" s="13" t="n">
        <x:v>1.5</x:v>
      </x:c>
      <x:c r="O30" s="15" t="n">
        <x:v>0</x:v>
      </x:c>
      <x:c r="P30" s="15" t="n">
        <x:v>0</x:v>
      </x:c>
      <x:c r="Q30" s="15" t="n">
        <x:v>0.4</x:v>
      </x:c>
      <x:c r="R30" s="15" t="n">
        <x:v>0</x:v>
      </x:c>
      <x:c r="S30" s="13" t="n">
        <x:f>'参数'!$C$50</x:f>
        <x:v>4</x:v>
      </x:c>
      <x:c r="T30" s="13" t="n">
        <x:f>ROUND(G30*(1+'参数'!$C$19*(S30-1)),0)</x:f>
        <x:v>155</x:v>
      </x:c>
      <x:c r="U30" s="17" t="n">
        <x:f>ROUND(H30*(1+'参数'!$C$20*(S30-1)),2)</x:f>
        <x:v>17.7</x:v>
      </x:c>
      <x:c r="V30" s="17" t="n">
        <x:f>I30+'参数'!$C$21*(S30-1)</x:f>
        <x:v>10</x:v>
      </x:c>
      <x:c r="W30" s="17" t="n">
        <x:f>U30*J30*(1+M30*(N30-1))</x:f>
        <x:v>15.421124999999996</x:v>
      </x:c>
      <x:c r="X30" s="17" t="n">
        <x:f>IF(F30="PHY",W30*'参数'!$C$22/('参数'!$C$22+'参数'!$C$49),W30)</x:f>
        <x:v>15.421124999999996</x:v>
      </x:c>
      <x:c r="Y30" s="11" t="str">
        <x:v>MVP</x:v>
      </x:c>
    </x:row>
    <x:row r="31" ht="27" customHeight="1">
      <x:c r="A31" s="3" t="str">
        <x:v>U_BL_2B</x:v>
      </x:c>
      <x:c r="B31" s="3" t="str">
        <x:v>冻薪报丧人</x:v>
      </x:c>
      <x:c r="C31" s="3" t="str">
        <x:v>BL</x:v>
      </x:c>
      <x:c r="D31" s="12" t="n">
        <x:v>2</x:v>
      </x:c>
      <x:c r="E31" s="3" t="str">
        <x:v>B</x:v>
      </x:c>
      <x:c r="F31" s="3" t="str">
        <x:v>MAG</x:v>
      </x:c>
      <x:c r="G31" s="12" t="n">
        <x:v>115</x:v>
      </x:c>
      <x:c r="H31" s="12" t="n">
        <x:v>18</x:v>
      </x:c>
      <x:c r="I31" s="12" t="n">
        <x:v>4</x:v>
      </x:c>
      <x:c r="J31" s="12" t="n">
        <x:v>0.85</x:v>
      </x:c>
      <x:c r="K31" s="12" t="n">
        <x:v>2.2</x:v>
      </x:c>
      <x:c r="L31" s="12" t="n">
        <x:v>6</x:v>
      </x:c>
      <x:c r="M31" s="14" t="n">
        <x:v>0.05</x:v>
      </x:c>
      <x:c r="N31" s="12" t="n">
        <x:v>1.5</x:v>
      </x:c>
      <x:c r="O31" s="14" t="n">
        <x:v>0</x:v>
      </x:c>
      <x:c r="P31" s="14" t="n">
        <x:v>0</x:v>
      </x:c>
      <x:c r="Q31" s="14" t="n">
        <x:v>0.4</x:v>
      </x:c>
      <x:c r="R31" s="14" t="n">
        <x:v>0</x:v>
      </x:c>
      <x:c r="S31" s="12" t="n">
        <x:f>'参数'!$C$50</x:f>
        <x:v>4</x:v>
      </x:c>
      <x:c r="T31" s="12" t="n">
        <x:f>ROUND(G31*(1+'参数'!$C$19*(S31-1)),0)</x:f>
        <x:v>143</x:v>
      </x:c>
      <x:c r="U31" s="16" t="n">
        <x:f>ROUND(H31*(1+'参数'!$C$20*(S31-1)),2)</x:f>
        <x:v>21.24</x:v>
      </x:c>
      <x:c r="V31" s="16" t="n">
        <x:f>I31+'参数'!$C$21*(S31-1)</x:f>
        <x:v>10</x:v>
      </x:c>
      <x:c r="W31" s="16" t="n">
        <x:f>U31*J31*(1+M31*(N31-1))</x:f>
        <x:v>18.505349999999996</x:v>
      </x:c>
      <x:c r="X31" s="16" t="n">
        <x:f>IF(F31="PHY",W31*'参数'!$C$22/('参数'!$C$22+'参数'!$C$49),W31)</x:f>
        <x:v>18.505349999999996</x:v>
      </x:c>
      <x:c r="Y31" s="3" t="str">
        <x:v>Expansion</x:v>
      </x:c>
    </x:row>
    <x:row r="32" ht="27" customHeight="1">
      <x:c r="A32" s="11" t="str">
        <x:v>U_BL_3A</x:v>
      </x:c>
      <x:c r="B32" s="11" t="str">
        <x:v>追悼指挥</x:v>
      </x:c>
      <x:c r="C32" s="11" t="str">
        <x:v>BL</x:v>
      </x:c>
      <x:c r="D32" s="13" t="n">
        <x:v>3</x:v>
      </x:c>
      <x:c r="E32" s="11" t="str">
        <x:v>A</x:v>
      </x:c>
      <x:c r="F32" s="11" t="str">
        <x:v>MAG</x:v>
      </x:c>
      <x:c r="G32" s="13" t="n">
        <x:v>155</x:v>
      </x:c>
      <x:c r="H32" s="13" t="n">
        <x:v>20</x:v>
      </x:c>
      <x:c r="I32" s="13" t="n">
        <x:v>6</x:v>
      </x:c>
      <x:c r="J32" s="13" t="n">
        <x:v>0.9</x:v>
      </x:c>
      <x:c r="K32" s="13" t="n">
        <x:v>2.2</x:v>
      </x:c>
      <x:c r="L32" s="13" t="n">
        <x:v>6</x:v>
      </x:c>
      <x:c r="M32" s="15" t="n">
        <x:v>0.05</x:v>
      </x:c>
      <x:c r="N32" s="13" t="n">
        <x:v>1.5</x:v>
      </x:c>
      <x:c r="O32" s="15" t="n">
        <x:v>0</x:v>
      </x:c>
      <x:c r="P32" s="15" t="n">
        <x:v>0</x:v>
      </x:c>
      <x:c r="Q32" s="15" t="n">
        <x:v>0.4</x:v>
      </x:c>
      <x:c r="R32" s="15" t="n">
        <x:v>0</x:v>
      </x:c>
      <x:c r="S32" s="13" t="n">
        <x:f>'参数'!$C$50</x:f>
        <x:v>4</x:v>
      </x:c>
      <x:c r="T32" s="13" t="n">
        <x:f>ROUND(G32*(1+'参数'!$C$19*(S32-1)),0)</x:f>
        <x:v>192</x:v>
      </x:c>
      <x:c r="U32" s="17" t="n">
        <x:f>ROUND(H32*(1+'参数'!$C$20*(S32-1)),2)</x:f>
        <x:v>23.6</x:v>
      </x:c>
      <x:c r="V32" s="17" t="n">
        <x:f>I32+'参数'!$C$21*(S32-1)</x:f>
        <x:v>12</x:v>
      </x:c>
      <x:c r="W32" s="17" t="n">
        <x:f>U32*J32*(1+M32*(N32-1))</x:f>
        <x:v>21.771</x:v>
      </x:c>
      <x:c r="X32" s="17" t="n">
        <x:f>IF(F32="PHY",W32*'参数'!$C$22/('参数'!$C$22+'参数'!$C$49),W32)</x:f>
        <x:v>21.771</x:v>
      </x:c>
      <x:c r="Y32" s="11" t="str">
        <x:v>MVP</x:v>
      </x:c>
    </x:row>
    <x:row r="33" ht="27" customHeight="1">
      <x:c r="A33" s="3" t="str">
        <x:v>U_BL_3B</x:v>
      </x:c>
      <x:c r="B33" s="3" t="str">
        <x:v>触电悼词官</x:v>
      </x:c>
      <x:c r="C33" s="3" t="str">
        <x:v>BL</x:v>
      </x:c>
      <x:c r="D33" s="12" t="n">
        <x:v>3</x:v>
      </x:c>
      <x:c r="E33" s="3" t="str">
        <x:v>B</x:v>
      </x:c>
      <x:c r="F33" s="3" t="str">
        <x:v>MAG</x:v>
      </x:c>
      <x:c r="G33" s="12" t="n">
        <x:v>145</x:v>
      </x:c>
      <x:c r="H33" s="12" t="n">
        <x:v>24</x:v>
      </x:c>
      <x:c r="I33" s="12" t="n">
        <x:v>6</x:v>
      </x:c>
      <x:c r="J33" s="12" t="n">
        <x:v>0.9</x:v>
      </x:c>
      <x:c r="K33" s="12" t="n">
        <x:v>2.2</x:v>
      </x:c>
      <x:c r="L33" s="12" t="n">
        <x:v>6.5</x:v>
      </x:c>
      <x:c r="M33" s="14" t="n">
        <x:v>0.05</x:v>
      </x:c>
      <x:c r="N33" s="12" t="n">
        <x:v>1.5</x:v>
      </x:c>
      <x:c r="O33" s="14" t="n">
        <x:v>0</x:v>
      </x:c>
      <x:c r="P33" s="14" t="n">
        <x:v>0</x:v>
      </x:c>
      <x:c r="Q33" s="14" t="n">
        <x:v>0.4</x:v>
      </x:c>
      <x:c r="R33" s="14" t="n">
        <x:v>0</x:v>
      </x:c>
      <x:c r="S33" s="12" t="n">
        <x:f>'参数'!$C$50</x:f>
        <x:v>4</x:v>
      </x:c>
      <x:c r="T33" s="12" t="n">
        <x:f>ROUND(G33*(1+'参数'!$C$19*(S33-1)),0)</x:f>
        <x:v>180</x:v>
      </x:c>
      <x:c r="U33" s="16" t="n">
        <x:f>ROUND(H33*(1+'参数'!$C$20*(S33-1)),2)</x:f>
        <x:v>28.32</x:v>
      </x:c>
      <x:c r="V33" s="16" t="n">
        <x:f>I33+'参数'!$C$21*(S33-1)</x:f>
        <x:v>12</x:v>
      </x:c>
      <x:c r="W33" s="16" t="n">
        <x:f>U33*J33*(1+M33*(N33-1))</x:f>
        <x:v>26.125199999999996</x:v>
      </x:c>
      <x:c r="X33" s="16" t="n">
        <x:f>IF(F33="PHY",W33*'参数'!$C$22/('参数'!$C$22+'参数'!$C$49),W33)</x:f>
        <x:v>26.125199999999996</x:v>
      </x:c>
      <x:c r="Y33" s="3" t="str">
        <x:v>Expansion</x:v>
      </x:c>
    </x:row>
    <x:row r="34" ht="27" customHeight="1">
      <x:c r="A34" s="11" t="str">
        <x:v>U_BL_4</x:v>
      </x:c>
      <x:c r="B34" s="11" t="str">
        <x:v>哀乐总裁</x:v>
      </x:c>
      <x:c r="C34" s="11" t="str">
        <x:v>BL</x:v>
      </x:c>
      <x:c r="D34" s="13" t="n">
        <x:v>4</x:v>
      </x:c>
      <x:c r="E34" s="11" t="str">
        <x:v>LORD</x:v>
      </x:c>
      <x:c r="F34" s="11" t="str">
        <x:v>MAG</x:v>
      </x:c>
      <x:c r="G34" s="13" t="n">
        <x:v>210</x:v>
      </x:c>
      <x:c r="H34" s="13" t="n">
        <x:v>26</x:v>
      </x:c>
      <x:c r="I34" s="13" t="n">
        <x:v>10</x:v>
      </x:c>
      <x:c r="J34" s="13" t="n">
        <x:v>0.9</x:v>
      </x:c>
      <x:c r="K34" s="13" t="n">
        <x:v>2.2</x:v>
      </x:c>
      <x:c r="L34" s="13" t="n">
        <x:v>7</x:v>
      </x:c>
      <x:c r="M34" s="15" t="n">
        <x:v>0.05</x:v>
      </x:c>
      <x:c r="N34" s="13" t="n">
        <x:v>1.5</x:v>
      </x:c>
      <x:c r="O34" s="15" t="n">
        <x:v>0</x:v>
      </x:c>
      <x:c r="P34" s="15" t="n">
        <x:v>0</x:v>
      </x:c>
      <x:c r="Q34" s="15" t="n">
        <x:v>0.4</x:v>
      </x:c>
      <x:c r="R34" s="15" t="n">
        <x:v>0</x:v>
      </x:c>
      <x:c r="S34" s="13" t="n">
        <x:f>'参数'!$C$50</x:f>
        <x:v>4</x:v>
      </x:c>
      <x:c r="T34" s="13" t="n">
        <x:f>ROUND(G34*(1+'参数'!$C$19*(S34-1)),0)</x:f>
        <x:v>260</x:v>
      </x:c>
      <x:c r="U34" s="17" t="n">
        <x:f>ROUND(H34*(1+'参数'!$C$20*(S34-1)),2)</x:f>
        <x:v>30.68</x:v>
      </x:c>
      <x:c r="V34" s="17" t="n">
        <x:f>I34+'参数'!$C$21*(S34-1)</x:f>
        <x:v>16</x:v>
      </x:c>
      <x:c r="W34" s="17" t="n">
        <x:f>U34*J34*(1+M34*(N34-1))</x:f>
        <x:v>28.3023</x:v>
      </x:c>
      <x:c r="X34" s="17" t="n">
        <x:f>IF(F34="PHY",W34*'参数'!$C$22/('参数'!$C$22+'参数'!$C$49),W34)</x:f>
        <x:v>28.3023</x:v>
      </x:c>
      <x:c r="Y34" s="11" t="str">
        <x:v>MVP</x:v>
      </x:c>
    </x:row>
    <x:row r="35" ht="27" customHeight="1">
      <x:c r="A35" s="3" t="str">
        <x:v>U_CF_1</x:v>
      </x:c>
      <x:c r="B35" s="3" t="str">
        <x:v>经济适用棺</x:v>
      </x:c>
      <x:c r="C35" s="3" t="str">
        <x:v>CF</x:v>
      </x:c>
      <x:c r="D35" s="12" t="n">
        <x:v>1</x:v>
      </x:c>
      <x:c r="E35" s="3" t="str">
        <x:v>BASE</x:v>
      </x:c>
      <x:c r="F35" s="3" t="str">
        <x:v>PHY</x:v>
      </x:c>
      <x:c r="G35" s="12" t="n">
        <x:v>185</x:v>
      </x:c>
      <x:c r="H35" s="12" t="n">
        <x:v>16</x:v>
      </x:c>
      <x:c r="I35" s="12" t="n">
        <x:v>10</x:v>
      </x:c>
      <x:c r="J35" s="12" t="n">
        <x:v>0.55</x:v>
      </x:c>
      <x:c r="K35" s="12" t="n">
        <x:v>1.5</x:v>
      </x:c>
      <x:c r="L35" s="12" t="n">
        <x:v>2.5</x:v>
      </x:c>
      <x:c r="M35" s="14" t="n">
        <x:v>0.05</x:v>
      </x:c>
      <x:c r="N35" s="12" t="n">
        <x:v>1.5</x:v>
      </x:c>
      <x:c r="O35" s="14" t="n">
        <x:v>0</x:v>
      </x:c>
      <x:c r="P35" s="14" t="n">
        <x:v>0.08</x:v>
      </x:c>
      <x:c r="Q35" s="14" t="n">
        <x:v>0.5</x:v>
      </x:c>
      <x:c r="R35" s="14" t="n">
        <x:v>0</x:v>
      </x:c>
      <x:c r="S35" s="12" t="n">
        <x:f>'参数'!$C$50</x:f>
        <x:v>4</x:v>
      </x:c>
      <x:c r="T35" s="12" t="n">
        <x:f>ROUND(G35*(1+'参数'!$C$19*(S35-1)),0)</x:f>
        <x:v>229</x:v>
      </x:c>
      <x:c r="U35" s="16" t="n">
        <x:f>ROUND(H35*(1+'参数'!$C$20*(S35-1)),2)</x:f>
        <x:v>18.88</x:v>
      </x:c>
      <x:c r="V35" s="16" t="n">
        <x:f>I35+'参数'!$C$21*(S35-1)</x:f>
        <x:v>16</x:v>
      </x:c>
      <x:c r="W35" s="16" t="n">
        <x:f>U35*J35*(1+M35*(N35-1))</x:f>
        <x:v>10.6436</x:v>
      </x:c>
      <x:c r="X35" s="16" t="n">
        <x:f>IF(F35="PHY",W35*'参数'!$C$22/('参数'!$C$22+'参数'!$C$49),W35)</x:f>
        <x:v>8.187384615384614</x:v>
      </x:c>
      <x:c r="Y35" s="3" t="str">
        <x:v>Expansion</x:v>
      </x:c>
    </x:row>
    <x:row r="36" ht="27" customHeight="1">
      <x:c r="A36" s="11" t="str">
        <x:v>U_CF_2A</x:v>
      </x:c>
      <x:c r="B36" s="11" t="str">
        <x:v>合租停尸棺</x:v>
      </x:c>
      <x:c r="C36" s="11" t="str">
        <x:v>CF</x:v>
      </x:c>
      <x:c r="D36" s="13" t="n">
        <x:v>2</x:v>
      </x:c>
      <x:c r="E36" s="11" t="str">
        <x:v>A</x:v>
      </x:c>
      <x:c r="F36" s="11" t="str">
        <x:v>PHY</x:v>
      </x:c>
      <x:c r="G36" s="13" t="n">
        <x:v>230</x:v>
      </x:c>
      <x:c r="H36" s="13" t="n">
        <x:v>17</x:v>
      </x:c>
      <x:c r="I36" s="13" t="n">
        <x:v>13</x:v>
      </x:c>
      <x:c r="J36" s="13" t="n">
        <x:v>0.55</x:v>
      </x:c>
      <x:c r="K36" s="13" t="n">
        <x:v>1.5</x:v>
      </x:c>
      <x:c r="L36" s="13" t="n">
        <x:v>2.5</x:v>
      </x:c>
      <x:c r="M36" s="15" t="n">
        <x:v>0.05</x:v>
      </x:c>
      <x:c r="N36" s="13" t="n">
        <x:v>1.5</x:v>
      </x:c>
      <x:c r="O36" s="15" t="n">
        <x:v>0</x:v>
      </x:c>
      <x:c r="P36" s="15" t="n">
        <x:v>0.08</x:v>
      </x:c>
      <x:c r="Q36" s="15" t="n">
        <x:v>0.5</x:v>
      </x:c>
      <x:c r="R36" s="15" t="n">
        <x:v>0</x:v>
      </x:c>
      <x:c r="S36" s="13" t="n">
        <x:f>'参数'!$C$50</x:f>
        <x:v>4</x:v>
      </x:c>
      <x:c r="T36" s="13" t="n">
        <x:f>ROUND(G36*(1+'参数'!$C$19*(S36-1)),0)</x:f>
        <x:v>285</x:v>
      </x:c>
      <x:c r="U36" s="17" t="n">
        <x:f>ROUND(H36*(1+'参数'!$C$20*(S36-1)),2)</x:f>
        <x:v>20.06</x:v>
      </x:c>
      <x:c r="V36" s="17" t="n">
        <x:f>I36+'参数'!$C$21*(S36-1)</x:f>
        <x:v>19</x:v>
      </x:c>
      <x:c r="W36" s="17" t="n">
        <x:f>U36*J36*(1+M36*(N36-1))</x:f>
        <x:v>11.308824999999999</x:v>
      </x:c>
      <x:c r="X36" s="17" t="n">
        <x:f>IF(F36="PHY",W36*'参数'!$C$22/('参数'!$C$22+'参数'!$C$49),W36)</x:f>
        <x:v>8.699096153846153</x:v>
      </x:c>
      <x:c r="Y36" s="11" t="str">
        <x:v>Expansion</x:v>
      </x:c>
    </x:row>
    <x:row r="37" ht="27" customHeight="1">
      <x:c r="A37" s="3" t="str">
        <x:v>U_CF_2B</x:v>
      </x:c>
      <x:c r="B37" s="3" t="str">
        <x:v>焚单火棺</x:v>
      </x:c>
      <x:c r="C37" s="3" t="str">
        <x:v>CF</x:v>
      </x:c>
      <x:c r="D37" s="12" t="n">
        <x:v>2</x:v>
      </x:c>
      <x:c r="E37" s="3" t="str">
        <x:v>B</x:v>
      </x:c>
      <x:c r="F37" s="3" t="str">
        <x:v>MAG</x:v>
      </x:c>
      <x:c r="G37" s="12" t="n">
        <x:v>170</x:v>
      </x:c>
      <x:c r="H37" s="12" t="n">
        <x:v>22</x:v>
      </x:c>
      <x:c r="I37" s="12" t="n">
        <x:v>8</x:v>
      </x:c>
      <x:c r="J37" s="12" t="n">
        <x:v>0.65</x:v>
      </x:c>
      <x:c r="K37" s="12" t="n">
        <x:v>1.5</x:v>
      </x:c>
      <x:c r="L37" s="12" t="n">
        <x:v>5</x:v>
      </x:c>
      <x:c r="M37" s="14" t="n">
        <x:v>0.05</x:v>
      </x:c>
      <x:c r="N37" s="12" t="n">
        <x:v>1.5</x:v>
      </x:c>
      <x:c r="O37" s="14" t="n">
        <x:v>0</x:v>
      </x:c>
      <x:c r="P37" s="14" t="n">
        <x:v>0.08</x:v>
      </x:c>
      <x:c r="Q37" s="14" t="n">
        <x:v>0.5</x:v>
      </x:c>
      <x:c r="R37" s="14" t="n">
        <x:v>0</x:v>
      </x:c>
      <x:c r="S37" s="12" t="n">
        <x:f>'参数'!$C$50</x:f>
        <x:v>4</x:v>
      </x:c>
      <x:c r="T37" s="12" t="n">
        <x:f>ROUND(G37*(1+'参数'!$C$19*(S37-1)),0)</x:f>
        <x:v>211</x:v>
      </x:c>
      <x:c r="U37" s="16" t="n">
        <x:f>ROUND(H37*(1+'参数'!$C$20*(S37-1)),2)</x:f>
        <x:v>25.96</x:v>
      </x:c>
      <x:c r="V37" s="16" t="n">
        <x:f>I37+'参数'!$C$21*(S37-1)</x:f>
        <x:v>14</x:v>
      </x:c>
      <x:c r="W37" s="16" t="n">
        <x:f>U37*J37*(1+M37*(N37-1))</x:f>
        <x:v>17.29585</x:v>
      </x:c>
      <x:c r="X37" s="16" t="n">
        <x:f>IF(F37="PHY",W37*'参数'!$C$22/('参数'!$C$22+'参数'!$C$49),W37)</x:f>
        <x:v>17.29585</x:v>
      </x:c>
      <x:c r="Y37" s="3" t="str">
        <x:v>Expansion</x:v>
      </x:c>
    </x:row>
    <x:row r="38" ht="27" customHeight="1">
      <x:c r="A38" s="11" t="str">
        <x:v>U_CF_3A</x:v>
      </x:c>
      <x:c r="B38" s="11" t="str">
        <x:v>钉子户守棺</x:v>
      </x:c>
      <x:c r="C38" s="11" t="str">
        <x:v>CF</x:v>
      </x:c>
      <x:c r="D38" s="13" t="n">
        <x:v>3</x:v>
      </x:c>
      <x:c r="E38" s="11" t="str">
        <x:v>A</x:v>
      </x:c>
      <x:c r="F38" s="11" t="str">
        <x:v>PHY</x:v>
      </x:c>
      <x:c r="G38" s="13" t="n">
        <x:v>295</x:v>
      </x:c>
      <x:c r="H38" s="13" t="n">
        <x:v>21</x:v>
      </x:c>
      <x:c r="I38" s="13" t="n">
        <x:v>18</x:v>
      </x:c>
      <x:c r="J38" s="13" t="n">
        <x:v>0.55</x:v>
      </x:c>
      <x:c r="K38" s="13" t="n">
        <x:v>1.3</x:v>
      </x:c>
      <x:c r="L38" s="13" t="n">
        <x:v>2</x:v>
      </x:c>
      <x:c r="M38" s="15" t="n">
        <x:v>0.05</x:v>
      </x:c>
      <x:c r="N38" s="13" t="n">
        <x:v>1.5</x:v>
      </x:c>
      <x:c r="O38" s="15" t="n">
        <x:v>0</x:v>
      </x:c>
      <x:c r="P38" s="15" t="n">
        <x:v>0.08</x:v>
      </x:c>
      <x:c r="Q38" s="15" t="n">
        <x:v>0.5</x:v>
      </x:c>
      <x:c r="R38" s="15" t="n">
        <x:v>0</x:v>
      </x:c>
      <x:c r="S38" s="13" t="n">
        <x:f>'参数'!$C$50</x:f>
        <x:v>4</x:v>
      </x:c>
      <x:c r="T38" s="13" t="n">
        <x:f>ROUND(G38*(1+'参数'!$C$19*(S38-1)),0)</x:f>
        <x:v>366</x:v>
      </x:c>
      <x:c r="U38" s="17" t="n">
        <x:f>ROUND(H38*(1+'参数'!$C$20*(S38-1)),2)</x:f>
        <x:v>24.78</x:v>
      </x:c>
      <x:c r="V38" s="17" t="n">
        <x:f>I38+'参数'!$C$21*(S38-1)</x:f>
        <x:v>24</x:v>
      </x:c>
      <x:c r="W38" s="17" t="n">
        <x:f>U38*J38*(1+M38*(N38-1))</x:f>
        <x:v>13.969725</x:v>
      </x:c>
      <x:c r="X38" s="17" t="n">
        <x:f>IF(F38="PHY",W38*'参数'!$C$22/('参数'!$C$22+'参数'!$C$49),W38)</x:f>
        <x:v>10.745942307692308</x:v>
      </x:c>
      <x:c r="Y38" s="11" t="str">
        <x:v>Expansion</x:v>
      </x:c>
    </x:row>
    <x:row r="39" ht="27" customHeight="1">
      <x:c r="A39" s="3" t="str">
        <x:v>U_CF_3B</x:v>
      </x:c>
      <x:c r="B39" s="3" t="str">
        <x:v>骨灰代理商</x:v>
      </x:c>
      <x:c r="C39" s="3" t="str">
        <x:v>CF</x:v>
      </x:c>
      <x:c r="D39" s="12" t="n">
        <x:v>3</x:v>
      </x:c>
      <x:c r="E39" s="3" t="str">
        <x:v>B</x:v>
      </x:c>
      <x:c r="F39" s="3" t="str">
        <x:v>MAG</x:v>
      </x:c>
      <x:c r="G39" s="12" t="n">
        <x:v>200</x:v>
      </x:c>
      <x:c r="H39" s="12" t="n">
        <x:v>28</x:v>
      </x:c>
      <x:c r="I39" s="12" t="n">
        <x:v>9</x:v>
      </x:c>
      <x:c r="J39" s="12" t="n">
        <x:v>0.7</x:v>
      </x:c>
      <x:c r="K39" s="12" t="n">
        <x:v>1.5</x:v>
      </x:c>
      <x:c r="L39" s="12" t="n">
        <x:v>6</x:v>
      </x:c>
      <x:c r="M39" s="14" t="n">
        <x:v>0.05</x:v>
      </x:c>
      <x:c r="N39" s="12" t="n">
        <x:v>1.5</x:v>
      </x:c>
      <x:c r="O39" s="14" t="n">
        <x:v>0</x:v>
      </x:c>
      <x:c r="P39" s="14" t="n">
        <x:v>0.08</x:v>
      </x:c>
      <x:c r="Q39" s="14" t="n">
        <x:v>0.5</x:v>
      </x:c>
      <x:c r="R39" s="14" t="n">
        <x:v>0</x:v>
      </x:c>
      <x:c r="S39" s="12" t="n">
        <x:f>'参数'!$C$50</x:f>
        <x:v>4</x:v>
      </x:c>
      <x:c r="T39" s="12" t="n">
        <x:f>ROUND(G39*(1+'参数'!$C$19*(S39-1)),0)</x:f>
        <x:v>248</x:v>
      </x:c>
      <x:c r="U39" s="16" t="n">
        <x:f>ROUND(H39*(1+'参数'!$C$20*(S39-1)),2)</x:f>
        <x:v>33.04</x:v>
      </x:c>
      <x:c r="V39" s="16" t="n">
        <x:f>I39+'参数'!$C$21*(S39-1)</x:f>
        <x:v>15</x:v>
      </x:c>
      <x:c r="W39" s="16" t="n">
        <x:f>U39*J39*(1+M39*(N39-1))</x:f>
        <x:v>23.706199999999995</x:v>
      </x:c>
      <x:c r="X39" s="16" t="n">
        <x:f>IF(F39="PHY",W39*'参数'!$C$22/('参数'!$C$22+'参数'!$C$49),W39)</x:f>
        <x:v>23.706199999999995</x:v>
      </x:c>
      <x:c r="Y39" s="3" t="str">
        <x:v>Expansion</x:v>
      </x:c>
    </x:row>
    <x:row r="40" ht="27" customHeight="1">
      <x:c r="A40" s="11" t="str">
        <x:v>U_CF_4</x:v>
      </x:c>
      <x:c r="B40" s="11" t="str">
        <x:v>阴间地产王</x:v>
      </x:c>
      <x:c r="C40" s="11" t="str">
        <x:v>CF</x:v>
      </x:c>
      <x:c r="D40" s="13" t="n">
        <x:v>4</x:v>
      </x:c>
      <x:c r="E40" s="11" t="str">
        <x:v>LORD</x:v>
      </x:c>
      <x:c r="F40" s="11" t="str">
        <x:v>PHY</x:v>
      </x:c>
      <x:c r="G40" s="13" t="n">
        <x:v>360</x:v>
      </x:c>
      <x:c r="H40" s="13" t="n">
        <x:v>29</x:v>
      </x:c>
      <x:c r="I40" s="13" t="n">
        <x:v>20</x:v>
      </x:c>
      <x:c r="J40" s="13" t="n">
        <x:v>0.65</x:v>
      </x:c>
      <x:c r="K40" s="13" t="n">
        <x:v>1.3</x:v>
      </x:c>
      <x:c r="L40" s="13" t="n">
        <x:v>3</x:v>
      </x:c>
      <x:c r="M40" s="15" t="n">
        <x:v>0.05</x:v>
      </x:c>
      <x:c r="N40" s="13" t="n">
        <x:v>1.5</x:v>
      </x:c>
      <x:c r="O40" s="15" t="n">
        <x:v>0</x:v>
      </x:c>
      <x:c r="P40" s="15" t="n">
        <x:v>0.08</x:v>
      </x:c>
      <x:c r="Q40" s="15" t="n">
        <x:v>0.5</x:v>
      </x:c>
      <x:c r="R40" s="15" t="n">
        <x:v>0</x:v>
      </x:c>
      <x:c r="S40" s="13" t="n">
        <x:f>'参数'!$C$50</x:f>
        <x:v>4</x:v>
      </x:c>
      <x:c r="T40" s="13" t="n">
        <x:f>ROUND(G40*(1+'参数'!$C$19*(S40-1)),0)</x:f>
        <x:v>446</x:v>
      </x:c>
      <x:c r="U40" s="17" t="n">
        <x:f>ROUND(H40*(1+'参数'!$C$20*(S40-1)),2)</x:f>
        <x:v>34.22</x:v>
      </x:c>
      <x:c r="V40" s="17" t="n">
        <x:f>I40+'参数'!$C$21*(S40-1)</x:f>
        <x:v>26</x:v>
      </x:c>
      <x:c r="W40" s="17" t="n">
        <x:f>U40*J40*(1+M40*(N40-1))</x:f>
        <x:v>22.799074999999995</x:v>
      </x:c>
      <x:c r="X40" s="17" t="n">
        <x:f>IF(F40="PHY",W40*'参数'!$C$22/('参数'!$C$22+'参数'!$C$49),W40)</x:f>
        <x:v>17.537749999999996</x:v>
      </x:c>
      <x:c r="Y40" s="11" t="str">
        <x:v>Expansion</x:v>
      </x:c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5daab78a423048b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16.670000076293945" hidden="0" customWidth="1"/>
    <x:col min="3" max="3" width="14.4399995803833" hidden="0" customWidth="1"/>
    <x:col min="4" max="4" width="25.559999465942383" hidden="0" customWidth="1"/>
    <x:col min="5" max="5" width="28.889999389648438" hidden="0" customWidth="1"/>
    <x:col min="6" max="6" width="21.110000610351562" hidden="0" customWidth="1"/>
    <x:col min="7" max="7" width="21.110000610351562" hidden="0" customWidth="1"/>
    <x:col min="8" max="8" width="20" hidden="0" customWidth="1"/>
    <x:col min="9" max="9" width="26.670000076293945" hidden="0" customWidth="1"/>
    <x:col min="10" max="10" width="26.670000076293945" hidden="0" customWidth="1"/>
    <x:col min="11" max="11" width="21.11000061035156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5" t="str">
        <x:v>家族符号与出生职业谱系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>
      <x:c r="A3" s="4" t="str">
        <x:v>谱系表示可召唤职业；所有跨出生阶路径都需要从老虎机取得对应身体，经验不会沿树升阶。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36" customHeight="1">
      <x:c r="A4" s="10" t="str">
        <x:v>家族ID</x:v>
      </x:c>
      <x:c r="B4" s="10" t="str">
        <x:v>家族名称</x:v>
      </x:c>
      <x:c r="C4" s="10" t="str">
        <x:v>符号</x:v>
      </x:c>
      <x:c r="D4" s="10" t="str">
        <x:v>黑色幽默</x:v>
      </x:c>
      <x:c r="E4" s="10" t="str">
        <x:v>核心用途</x:v>
      </x:c>
      <x:c r="F4" s="10" t="str">
        <x:v>A方向</x:v>
      </x:c>
      <x:c r="G4" s="10" t="str">
        <x:v>B方向</x:v>
      </x:c>
      <x:c r="H4" s="10" t="str">
        <x:v>R1</x:v>
      </x:c>
      <x:c r="I4" s="10" t="str">
        <x:v>R2选择</x:v>
      </x:c>
      <x:c r="J4" s="10" t="str">
        <x:v>R3选择</x:v>
      </x:c>
      <x:c r="K4" s="10" t="str">
        <x:v>R4</x:v>
      </x:c>
    </x:row>
    <x:row r="5" ht="42" customHeight="1">
      <x:c r="A5" s="3" t="str">
        <x:v>SK</x:v>
      </x:c>
      <x:c r="B5" s="3" t="str">
        <x:v>欠薪骨团</x:v>
      </x:c>
      <x:c r="C5" s="3" t="str">
        <x:v>骷髅头</x:v>
      </x:c>
      <x:c r="D5" s="3" t="str">
        <x:v>死后仍在排班，唯一福利是不用吃饭。</x:v>
      </x:c>
      <x:c r="E5" s="3" t="str">
        <x:v>护盾承伤、骨刺反击、远程破甲</x:v>
      </x:c>
      <x:c r="F5" s="3" t="str">
        <x:v>盾阵与承伤</x:v>
      </x:c>
      <x:c r="G5" s="3" t="str">
        <x:v>骨弩与破甲</x:v>
      </x:c>
      <x:c r="H5" s="3" t="str">
        <x:v>U_SK_1 骨牌盾手</x:v>
      </x:c>
      <x:c r="I5" s="3" t="str">
        <x:v>U_SK_2A 拒赔骨卫
U_SK_2B 骨税弩吏</x:v>
      </x:c>
      <x:c r="J5" s="3" t="str">
        <x:v>U_SK_3A 骨阵审计长
U_SK_3B 穿肋执行官</x:v>
      </x:c>
      <x:c r="K5" s="3" t="str">
        <x:v>U_SK_4 破产骨王</x:v>
      </x:c>
    </x:row>
    <x:row r="6" ht="42" customHeight="1">
      <x:c r="A6" s="11" t="str">
        <x:v>ZM</x:v>
      </x:c>
      <x:c r="B6" s="11" t="str">
        <x:v>腐败工会</x:v>
      </x:c>
      <x:c r="C6" s="11" t="str">
        <x:v>烂心脏</x:v>
      </x:c>
      <x:c r="D6" s="11" t="str">
        <x:v>组织已经烂透，成员因此免交体检费。</x:v>
      </x:c>
      <x:c r="E6" s="11" t="str">
        <x:v>毒素、有效治疗、尸骸回收</x:v>
      </x:c>
      <x:c r="F6" s="11" t="str">
        <x:v>毒传播与范围压制</x:v>
      </x:c>
      <x:c r="G6" s="11" t="str">
        <x:v>修复与毒素转化</x:v>
      </x:c>
      <x:c r="H6" s="11" t="str">
        <x:v>U_ZM_1 试用腐尸</x:v>
      </x:c>
      <x:c r="I6" s="11" t="str">
        <x:v>U_ZM_2A 喷嚏播报员
U_ZM_2B 尸后护理员</x:v>
      </x:c>
      <x:c r="J6" s="11" t="str">
        <x:v>U_ZM_3A 腐败发言棺
U_ZM_3B 毒账核销师</x:v>
      </x:c>
      <x:c r="K6" s="11" t="str">
        <x:v>U_ZM_4 终身腐利院长</x:v>
      </x:c>
    </x:row>
    <x:row r="7" ht="42" customHeight="1">
      <x:c r="A7" s="3" t="str">
        <x:v>HR</x:v>
      </x:c>
      <x:c r="B7" s="3" t="str">
        <x:v>丧马快递</x:v>
      </x:c>
      <x:c r="C7" s="3" t="str">
        <x:v>丧尸马头</x:v>
      </x:c>
      <x:c r="D7" s="3" t="str">
        <x:v>承诺使命必达，不承诺骑手完整。</x:v>
      </x:c>
      <x:c r="E7" s="3" t="str">
        <x:v>冲锋、位移、绕侧与回场支援</x:v>
      </x:c>
      <x:c r="F7" s="3" t="str">
        <x:v>冲锋突击</x:v>
      </x:c>
      <x:c r="G7" s="3" t="str">
        <x:v>移动补给与牵制</x:v>
      </x:c>
      <x:c r="H7" s="3" t="str">
        <x:v>U_HR_1 迟到丧马</x:v>
      </x:c>
      <x:c r="I7" s="3" t="str">
        <x:v>U_HR_2A 拒收骨枪骑
U_HR_2B 冷链灵柩马</x:v>
      </x:c>
      <x:c r="J7" s="3" t="str">
        <x:v>U_HR_3A 追尾骨骑长
U_HR_3B 回魂驿站长</x:v>
      </x:c>
      <x:c r="K7" s="3" t="str">
        <x:v>U_HR_4 末班灵车王</x:v>
      </x:c>
    </x:row>
    <x:row r="8" ht="42" customHeight="1">
      <x:c r="A8" s="11" t="str">
        <x:v>HD</x:v>
      </x:c>
      <x:c r="B8" s="11" t="str">
        <x:v>断手外包</x:v>
      </x:c>
      <x:c r="C8" s="11" t="str">
        <x:v>断手</x:v>
      </x:c>
      <x:c r="D8" s="11" t="str">
        <x:v>只有一只手，也要同时接三份活。</x:v>
      </x:c>
      <x:c r="E8" s="11" t="str">
        <x:v>高频普攻、临时召唤、尸骸利用</x:v>
      </x:c>
      <x:c r="F8" s="11" t="str">
        <x:v>手群与追击</x:v>
      </x:c>
      <x:c r="G8" s="11" t="str">
        <x:v>元素传导与处决</x:v>
      </x:c>
      <x:c r="H8" s="11" t="str">
        <x:v>U_HD_1 单手临时工</x:v>
      </x:c>
      <x:c r="I8" s="11" t="str">
        <x:v>U_HD_2A 拆指包工头
U_HD_2B 漏电接线手</x:v>
      </x:c>
      <x:c r="J8" s="11" t="str">
        <x:v>U_HD_3A 千手裁员官
U_HD_3B 抹账断腕</x:v>
      </x:c>
      <x:c r="K8" s="11" t="str">
        <x:v>U_HD_4 十指董事会</x:v>
      </x:c>
    </x:row>
    <x:row r="9" ht="42" customHeight="1">
      <x:c r="A9" s="3" t="str">
        <x:v>BL</x:v>
      </x:c>
      <x:c r="B9" s="3" t="str">
        <x:v>骨铃礼仪</x:v>
      </x:c>
      <x:c r="C9" s="3" t="str">
        <x:v>骨铃</x:v>
      </x:c>
      <x:c r="D9" s="3" t="str">
        <x:v>丧钟按次收费，客户没有差评权限。</x:v>
      </x:c>
      <x:c r="E9" s="3" t="str">
        <x:v>治疗、护盾、冷电与队伍节奏</x:v>
      </x:c>
      <x:c r="F9" s="3" t="str">
        <x:v>修复与防守</x:v>
      </x:c>
      <x:c r="G9" s="3" t="str">
        <x:v>诅咒与元素控制</x:v>
      </x:c>
      <x:c r="H9" s="3" t="str">
        <x:v>U_BL_1 骨铃实习生</x:v>
      </x:c>
      <x:c r="I9" s="3" t="str">
        <x:v>U_BL_2A 报丧修复师
U_BL_2B 冻薪报丧人</x:v>
      </x:c>
      <x:c r="J9" s="3" t="str">
        <x:v>U_BL_3A 追悼指挥
U_BL_3B 触电悼词官</x:v>
      </x:c>
      <x:c r="K9" s="3" t="str">
        <x:v>U_BL_4 哀乐总裁</x:v>
      </x:c>
    </x:row>
    <x:row r="10" ht="42" customHeight="1">
      <x:c r="A10" s="11" t="str">
        <x:v>CF</x:v>
      </x:c>
      <x:c r="B10" s="11" t="str">
        <x:v>棺材公寓</x:v>
      </x:c>
      <x:c r="C10" s="11" t="str">
        <x:v>棺材板</x:v>
      </x:c>
      <x:c r="D10" s="11" t="str">
        <x:v>永久产权，入住以后谢绝退租。</x:v>
      </x:c>
      <x:c r="E10" s="11" t="str">
        <x:v>阵地承伤、尸骸储备、召唤与范围法术</x:v>
      </x:c>
      <x:c r="F10" s="11" t="str">
        <x:v>棺阵与亡灵补充</x:v>
      </x:c>
      <x:c r="G10" s="11" t="str">
        <x:v>燃烧与尸骸法术</x:v>
      </x:c>
      <x:c r="H10" s="11" t="str">
        <x:v>U_CF_1 经济适用棺</x:v>
      </x:c>
      <x:c r="I10" s="11" t="str">
        <x:v>U_CF_2A 合租停尸棺
U_CF_2B 焚单火棺</x:v>
      </x:c>
      <x:c r="J10" s="11" t="str">
        <x:v>U_CF_3A 钉子户守棺
U_CF_3B 骨灰代理商</x:v>
      </x:c>
      <x:c r="K10" s="11" t="str">
        <x:v>U_CF_4 阴间地产王</x:v>
      </x:c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0ff577957fdc4ad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1.110000610351562" hidden="0" customWidth="1"/>
    <x:col min="2" max="2" width="16.110000610351562" hidden="0" customWidth="1"/>
    <x:col min="3" max="3" width="16.110000610351562" hidden="0" customWidth="1"/>
    <x:col min="4" max="4" width="8.890000343322754" hidden="0" customWidth="1"/>
    <x:col min="5" max="5" width="17.219999313354492" hidden="0" customWidth="1"/>
    <x:col min="6" max="6" width="25.559999465942383" hidden="0" customWidth="1"/>
    <x:col min="7" max="7" width="20" hidden="0" customWidth="1"/>
    <x:col min="8" max="8" width="50" hidden="0" customWidth="1"/>
    <x:col min="9" max="9" width="11.109999656677246" hidden="0" customWidth="1"/>
    <x:col min="10" max="10" width="10" hidden="0" customWidth="1"/>
    <x:col min="11" max="11" width="10" hidden="0" customWidth="1"/>
    <x:col min="12" max="12" width="36.66999816894531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5" t="str">
        <x:v>兵种技能事件与结算边界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36" customHeight="1">
      <x:c r="A4" s="10" t="str">
        <x:v>技能ID</x:v>
      </x:c>
      <x:c r="B4" s="10" t="str">
        <x:v>兵种ID</x:v>
      </x:c>
      <x:c r="C4" s="10" t="str">
        <x:v>兵种</x:v>
      </x:c>
      <x:c r="D4" s="10" t="str">
        <x:v>类别</x:v>
      </x:c>
      <x:c r="E4" s="10" t="str">
        <x:v>技能</x:v>
      </x:c>
      <x:c r="F4" s="10" t="str">
        <x:v>触发</x:v>
      </x:c>
      <x:c r="G4" s="10" t="str">
        <x:v>目标</x:v>
      </x:c>
      <x:c r="H4" s="10" t="str">
        <x:v>效果与数值</x:v>
      </x:c>
      <x:c r="I4" s="10" t="str">
        <x:v>攻击倍率</x:v>
      </x:c>
      <x:c r="J4" s="10" t="str">
        <x:v>冷却秒</x:v>
      </x:c>
      <x:c r="K4" s="10" t="str">
        <x:v>目标上限</x:v>
      </x:c>
      <x:c r="L4" s="10" t="str">
        <x:v>派生限制</x:v>
      </x:c>
    </x:row>
    <x:row r="5" ht="42" customHeight="1">
      <x:c r="A5" s="3" t="str">
        <x:v>U_SK_1_P</x:v>
      </x:c>
      <x:c r="B5" s="3" t="str">
        <x:v>U_SK_1</x:v>
      </x:c>
      <x:c r="C5" s="3" t="str">
        <x:v>骨牌盾手</x:v>
      </x:c>
      <x:c r="D5" s="3" t="str">
        <x:v>主技能</x:v>
      </x:c>
      <x:c r="E5" s="3" t="str">
        <x:v>最低保障</x:v>
      </x:c>
      <x:c r="F5" s="3" t="str">
        <x:v>BASIC_HIT：自身每第3次命中</x:v>
      </x:c>
      <x:c r="G5" s="3" t="str">
        <x:v>自身</x:v>
      </x:c>
      <x:c r="H5" s="3" t="str">
        <x:v>获得相当于自身12%最大生命的BONE_ARMOR，持续5秒；本技能护盾最多保留1份，重复刷新。</x:v>
      </x:c>
      <x:c r="I5" s="12" t="n">
        <x:v>0</x:v>
      </x:c>
      <x:c r="J5" s="12" t="n">
        <x:v>2</x:v>
      </x:c>
      <x:c r="K5" s="12" t="n">
        <x:v>1</x:v>
      </x:c>
      <x:c r="L5" s="3" t="str">
        <x:v>遵循公共事件表E00；局部限制见效果</x:v>
      </x:c>
    </x:row>
    <x:row r="6" ht="42" customHeight="1">
      <x:c r="A6" s="11" t="str">
        <x:v>U_SK_1_V</x:v>
      </x:c>
      <x:c r="B6" s="11" t="str">
        <x:v>U_SK_1</x:v>
      </x:c>
      <x:c r="C6" s="11" t="str">
        <x:v>骨牌盾手</x:v>
      </x:c>
      <x:c r="D6" s="11" t="str">
        <x:v>被动</x:v>
      </x:c>
      <x:c r="E6" s="11" t="str">
        <x:v>散架意见</x:v>
      </x:c>
      <x:c r="F6" s="11" t="str">
        <x:v>SHIELD_BREAK：自身护盾被敌方伤害耗尽</x:v>
      </x:c>
      <x:c r="G6" s="11" t="str">
        <x:v>最近1名敌人，距离不超过2米</x:v>
      </x:c>
      <x:c r="H6" s="11" t="str">
        <x:v>造成60%攻击力的物理技能伤害。</x:v>
      </x:c>
      <x:c r="I6" s="13" t="n">
        <x:v>0.6</x:v>
      </x:c>
      <x:c r="J6" s="13" t="n">
        <x:v>2</x:v>
      </x:c>
      <x:c r="K6" s="13" t="n">
        <x:v>1</x:v>
      </x:c>
      <x:c r="L6" s="11" t="str">
        <x:v>遵循公共事件表E00；局部限制见效果</x:v>
      </x:c>
    </x:row>
    <x:row r="7" ht="42" customHeight="1">
      <x:c r="A7" s="3" t="str">
        <x:v>U_SK_2A_P</x:v>
      </x:c>
      <x:c r="B7" s="3" t="str">
        <x:v>U_SK_2A</x:v>
      </x:c>
      <x:c r="C7" s="3" t="str">
        <x:v>拒赔骨卫</x:v>
      </x:c>
      <x:c r="D7" s="3" t="str">
        <x:v>主技能</x:v>
      </x:c>
      <x:c r="E7" s="3" t="str">
        <x:v>请找下一窗口</x:v>
      </x:c>
      <x:c r="F7" s="3" t="str">
        <x:v>BASIC_HIT：自身每第3次命中</x:v>
      </x:c>
      <x:c r="G7" s="3" t="str">
        <x:v>自身与3米内最近2名敌人</x:v>
      </x:c>
      <x:c r="H7" s="3" t="str">
        <x:v>自身获得18%最大生命BONE_ARMOR持续5秒，并使2名敌人TAUNTED指向自身2秒。</x:v>
      </x:c>
      <x:c r="I7" s="12" t="n">
        <x:v>0</x:v>
      </x:c>
      <x:c r="J7" s="12" t="n">
        <x:v>3</x:v>
      </x:c>
      <x:c r="K7" s="12" t="n">
        <x:v>3</x:v>
      </x:c>
      <x:c r="L7" s="3" t="str">
        <x:v>遵循公共事件表E00；局部限制见效果</x:v>
      </x:c>
    </x:row>
    <x:row r="8" ht="27" customHeight="1">
      <x:c r="A8" s="11" t="str">
        <x:v>U_SK_2A_V</x:v>
      </x:c>
      <x:c r="B8" s="11" t="str">
        <x:v>U_SK_2A</x:v>
      </x:c>
      <x:c r="C8" s="11" t="str">
        <x:v>拒赔骨卫</x:v>
      </x:c>
      <x:c r="D8" s="11" t="str">
        <x:v>被动</x:v>
      </x:c>
      <x:c r="E8" s="11" t="str">
        <x:v>受理回执</x:v>
      </x:c>
      <x:c r="F8" s="11" t="str">
        <x:v>TAUNT：自身成功施加嘲讽</x:v>
      </x:c>
      <x:c r="G8" s="11" t="str">
        <x:v>自身</x:v>
      </x:c>
      <x:c r="H8" s="11" t="str">
        <x:v>恢复4%最大生命；仅实际恢复量产生EFFECTIVE_HEAL。</x:v>
      </x:c>
      <x:c r="I8" s="13" t="n">
        <x:v>0</x:v>
      </x:c>
      <x:c r="J8" s="13" t="n">
        <x:v>3</x:v>
      </x:c>
      <x:c r="K8" s="13" t="n">
        <x:v>1</x:v>
      </x:c>
      <x:c r="L8" s="11" t="str">
        <x:v>遵循公共事件表E00；局部限制见效果</x:v>
      </x:c>
    </x:row>
    <x:row r="9" ht="42" customHeight="1">
      <x:c r="A9" s="3" t="str">
        <x:v>U_SK_2B_P</x:v>
      </x:c>
      <x:c r="B9" s="3" t="str">
        <x:v>U_SK_2B</x:v>
      </x:c>
      <x:c r="C9" s="3" t="str">
        <x:v>骨税弩吏</x:v>
      </x:c>
      <x:c r="D9" s="3" t="str">
        <x:v>主技能</x:v>
      </x:c>
      <x:c r="E9" s="3" t="str">
        <x:v>逐骨征税</x:v>
      </x:c>
      <x:c r="F9" s="3" t="str">
        <x:v>BASIC_HIT：自身每第3次命中</x:v>
      </x:c>
      <x:c r="G9" s="3" t="str">
        <x:v>本次普攻目标</x:v>
      </x:c>
      <x:c r="H9" s="3" t="str">
        <x:v>额外造成90%攻击力物理技能伤害，并施加EXPOSED 1层持续5秒；本技能对同目标最多3层。</x:v>
      </x:c>
      <x:c r="I9" s="12" t="n">
        <x:v>0.9</x:v>
      </x:c>
      <x:c r="J9" s="12" t="n">
        <x:v>2</x:v>
      </x:c>
      <x:c r="K9" s="12" t="n">
        <x:v>1</x:v>
      </x:c>
      <x:c r="L9" s="3" t="str">
        <x:v>遵循公共事件表E00；局部限制见效果</x:v>
      </x:c>
    </x:row>
    <x:row r="10" ht="42" customHeight="1">
      <x:c r="A10" s="11" t="str">
        <x:v>U_SK_2B_V</x:v>
      </x:c>
      <x:c r="B10" s="11" t="str">
        <x:v>U_SK_2B</x:v>
      </x:c>
      <x:c r="C10" s="11" t="str">
        <x:v>骨税弩吏</x:v>
      </x:c>
      <x:c r="D10" s="11" t="str">
        <x:v>被动</x:v>
      </x:c>
      <x:c r="E10" s="11" t="str">
        <x:v>多退少补</x:v>
      </x:c>
      <x:c r="F10" s="11" t="str">
        <x:v>DIRECT_CRIT：自身普攻暴击</x:v>
      </x:c>
      <x:c r="G10" s="11" t="str">
        <x:v>3米内生命比例最低的正式友军</x:v>
      </x:c>
      <x:c r="H10" s="11" t="str">
        <x:v>给予相当于自身70%攻击力的BONE_ARMOR持续4秒；本被动同目标最多1份护盾。</x:v>
      </x:c>
      <x:c r="I10" s="13" t="n">
        <x:v>0.7</x:v>
      </x:c>
      <x:c r="J10" s="13" t="n">
        <x:v>2</x:v>
      </x:c>
      <x:c r="K10" s="13" t="n">
        <x:v>1</x:v>
      </x:c>
      <x:c r="L10" s="11" t="str">
        <x:v>遵循公共事件表E00；局部限制见效果</x:v>
      </x:c>
    </x:row>
    <x:row r="11" ht="42" customHeight="1">
      <x:c r="A11" s="3" t="str">
        <x:v>U_SK_3A_P</x:v>
      </x:c>
      <x:c r="B11" s="3" t="str">
        <x:v>U_SK_3A</x:v>
      </x:c>
      <x:c r="C11" s="3" t="str">
        <x:v>骨阵审计长</x:v>
      </x:c>
      <x:c r="D11" s="3" t="str">
        <x:v>主技能</x:v>
      </x:c>
      <x:c r="E11" s="3" t="str">
        <x:v>审计全覆盖</x:v>
      </x:c>
      <x:c r="F11" s="3" t="str">
        <x:v>BASIC_HIT：自身每第3次命中</x:v>
      </x:c>
      <x:c r="G11" s="3" t="str">
        <x:v>4米内护盾值最低的3名正式友军</x:v>
      </x:c>
      <x:c r="H11" s="3" t="str">
        <x:v>每人获得相当于自身90%攻击力BONE_ARMOR持续5秒；各目标本技能护盾最多1份。</x:v>
      </x:c>
      <x:c r="I11" s="12" t="n">
        <x:v>0.9</x:v>
      </x:c>
      <x:c r="J11" s="12" t="n">
        <x:v>4</x:v>
      </x:c>
      <x:c r="K11" s="12" t="n">
        <x:v>3</x:v>
      </x:c>
      <x:c r="L11" s="3" t="str">
        <x:v>遵循公共事件表E00；局部限制见效果</x:v>
      </x:c>
    </x:row>
    <x:row r="12" ht="42" customHeight="1">
      <x:c r="A12" s="11" t="str">
        <x:v>U_SK_3A_V</x:v>
      </x:c>
      <x:c r="B12" s="11" t="str">
        <x:v>U_SK_3A</x:v>
      </x:c>
      <x:c r="C12" s="11" t="str">
        <x:v>骨阵审计长</x:v>
      </x:c>
      <x:c r="D12" s="11" t="str">
        <x:v>被动</x:v>
      </x:c>
      <x:c r="E12" s="11" t="str">
        <x:v>破盾追责</x:v>
      </x:c>
      <x:c r="F12" s="11" t="str">
        <x:v>SHIELD_BREAK：4米内任意正式友军护盾被耗尽</x:v>
      </x:c>
      <x:c r="G12" s="11" t="str">
        <x:v>护盾破裂友军2米内最近1名敌人</x:v>
      </x:c>
      <x:c r="H12" s="11" t="str">
        <x:v>造成100%攻击力物理技能伤害。</x:v>
      </x:c>
      <x:c r="I12" s="13" t="n">
        <x:v>1</x:v>
      </x:c>
      <x:c r="J12" s="13" t="n">
        <x:v>1.5</x:v>
      </x:c>
      <x:c r="K12" s="13" t="n">
        <x:v>1</x:v>
      </x:c>
      <x:c r="L12" s="11" t="str">
        <x:v>遵循公共事件表E00；局部限制见效果</x:v>
      </x:c>
    </x:row>
    <x:row r="13" ht="42" customHeight="1">
      <x:c r="A13" s="3" t="str">
        <x:v>U_SK_3B_P</x:v>
      </x:c>
      <x:c r="B13" s="3" t="str">
        <x:v>U_SK_3B</x:v>
      </x:c>
      <x:c r="C13" s="3" t="str">
        <x:v>穿肋执行官</x:v>
      </x:c>
      <x:c r="D13" s="3" t="str">
        <x:v>主技能</x:v>
      </x:c>
      <x:c r="E13" s="3" t="str">
        <x:v>强制执行</x:v>
      </x:c>
      <x:c r="F13" s="3" t="str">
        <x:v>BASIC_HIT：自身每第4次命中</x:v>
      </x:c>
      <x:c r="G13" s="3" t="str">
        <x:v>本次普攻目标</x:v>
      </x:c>
      <x:c r="H13" s="3" t="str">
        <x:v>造成170%攻击力物理技能伤害；若目标有EXPOSED，再造成40%攻击力真实技能伤害，每次最多追加1次。</x:v>
      </x:c>
      <x:c r="I13" s="12" t="n">
        <x:v>1.7</x:v>
      </x:c>
      <x:c r="J13" s="12" t="n">
        <x:v>3</x:v>
      </x:c>
      <x:c r="K13" s="12" t="n">
        <x:v>1</x:v>
      </x:c>
      <x:c r="L13" s="3" t="str">
        <x:v>遵循公共事件表E00；局部限制见效果</x:v>
      </x:c>
    </x:row>
    <x:row r="14" ht="42" customHeight="1">
      <x:c r="A14" s="11" t="str">
        <x:v>U_SK_3B_V</x:v>
      </x:c>
      <x:c r="B14" s="11" t="str">
        <x:v>U_SK_3B</x:v>
      </x:c>
      <x:c r="C14" s="11" t="str">
        <x:v>穿肋执行官</x:v>
      </x:c>
      <x:c r="D14" s="11" t="str">
        <x:v>被动</x:v>
      </x:c>
      <x:c r="E14" s="11" t="str">
        <x:v>查封保全</x:v>
      </x:c>
      <x:c r="F14" s="11" t="str">
        <x:v>ENEMY_KO：自身造成原生敌人最终击杀</x:v>
      </x:c>
      <x:c r="G14" s="11" t="str">
        <x:v>自身及3米内生命比例最低1名正式友军</x:v>
      </x:c>
      <x:c r="H14" s="11" t="str">
        <x:v>各获得100%攻击力BONE_ARMOR持续5秒；无击杀现金或经验。</x:v>
      </x:c>
      <x:c r="I14" s="13" t="n">
        <x:v>1</x:v>
      </x:c>
      <x:c r="J14" s="13" t="n">
        <x:v>3</x:v>
      </x:c>
      <x:c r="K14" s="13" t="n">
        <x:v>2</x:v>
      </x:c>
      <x:c r="L14" s="11" t="str">
        <x:v>遵循公共事件表E00；局部限制见效果</x:v>
      </x:c>
    </x:row>
    <x:row r="15" ht="42" customHeight="1">
      <x:c r="A15" s="3" t="str">
        <x:v>U_SK_4_P</x:v>
      </x:c>
      <x:c r="B15" s="3" t="str">
        <x:v>U_SK_4</x:v>
      </x:c>
      <x:c r="C15" s="3" t="str">
        <x:v>破产骨王</x:v>
      </x:c>
      <x:c r="D15" s="3" t="str">
        <x:v>主技能</x:v>
      </x:c>
      <x:c r="E15" s="3" t="str">
        <x:v>全国最低保障</x:v>
      </x:c>
      <x:c r="F15" s="3" t="str">
        <x:v>BASIC_HIT：自身每第3次命中</x:v>
      </x:c>
      <x:c r="G15" s="3" t="str">
        <x:v>全场护盾值最低的4名正式友军</x:v>
      </x:c>
      <x:c r="H15" s="3" t="str">
        <x:v>各获得相当于目标15%最大生命的BONE_ARMOR持续6秒；每目标本技能最多1份。</x:v>
      </x:c>
      <x:c r="I15" s="12" t="n">
        <x:v>0</x:v>
      </x:c>
      <x:c r="J15" s="12" t="n">
        <x:v>4</x:v>
      </x:c>
      <x:c r="K15" s="12" t="n">
        <x:v>4</x:v>
      </x:c>
      <x:c r="L15" s="3" t="str">
        <x:v>遵循公共事件表E00；局部限制见效果</x:v>
      </x:c>
    </x:row>
    <x:row r="16" ht="42" customHeight="1">
      <x:c r="A16" s="11" t="str">
        <x:v>U_SK_4_V</x:v>
      </x:c>
      <x:c r="B16" s="11" t="str">
        <x:v>U_SK_4</x:v>
      </x:c>
      <x:c r="C16" s="11" t="str">
        <x:v>破产骨王</x:v>
      </x:c>
      <x:c r="D16" s="11" t="str">
        <x:v>被动</x:v>
      </x:c>
      <x:c r="E16" s="11" t="str">
        <x:v>有限责任王国</x:v>
      </x:c>
      <x:c r="F16" s="11" t="str">
        <x:v>SHIELD_BREAK：任意正式友军护盾被敌方耗尽</x:v>
      </x:c>
      <x:c r="G16" s="11" t="str">
        <x:v>破盾友军3米内最近2名敌人</x:v>
      </x:c>
      <x:c r="H16" s="11" t="str">
        <x:v>每名敌人受到100%攻击力物理技能伤害。</x:v>
      </x:c>
      <x:c r="I16" s="13" t="n">
        <x:v>1</x:v>
      </x:c>
      <x:c r="J16" s="13" t="n">
        <x:v>2</x:v>
      </x:c>
      <x:c r="K16" s="13" t="n">
        <x:v>2</x:v>
      </x:c>
      <x:c r="L16" s="11" t="str">
        <x:v>遵循公共事件表E00；局部限制见效果</x:v>
      </x:c>
    </x:row>
    <x:row r="17" ht="42" customHeight="1">
      <x:c r="A17" s="3" t="str">
        <x:v>U_ZM_1_P</x:v>
      </x:c>
      <x:c r="B17" s="3" t="str">
        <x:v>U_ZM_1</x:v>
      </x:c>
      <x:c r="C17" s="3" t="str">
        <x:v>试用腐尸</x:v>
      </x:c>
      <x:c r="D17" s="3" t="str">
        <x:v>主技能</x:v>
      </x:c>
      <x:c r="E17" s="3" t="str">
        <x:v>呼吸外包</x:v>
      </x:c>
      <x:c r="F17" s="3" t="str">
        <x:v>BASIC_HIT：自身每第2次命中</x:v>
      </x:c>
      <x:c r="G17" s="3" t="str">
        <x:v>本次普攻目标</x:v>
      </x:c>
      <x:c r="H17" s="3" t="str">
        <x:v>施加POISON 1层持续6秒；本技能每目标最多3层，刷新自身最旧层。</x:v>
      </x:c>
      <x:c r="I17" s="12" t="n">
        <x:v>0</x:v>
      </x:c>
      <x:c r="J17" s="12" t="n">
        <x:v>1</x:v>
      </x:c>
      <x:c r="K17" s="12" t="n">
        <x:v>1</x:v>
      </x:c>
      <x:c r="L17" s="3" t="str">
        <x:v>遵循公共事件表E00；局部限制见效果</x:v>
      </x:c>
    </x:row>
    <x:row r="18" ht="42" customHeight="1">
      <x:c r="A18" s="11" t="str">
        <x:v>U_ZM_1_V</x:v>
      </x:c>
      <x:c r="B18" s="11" t="str">
        <x:v>U_ZM_1</x:v>
      </x:c>
      <x:c r="C18" s="11" t="str">
        <x:v>试用腐尸</x:v>
      </x:c>
      <x:c r="D18" s="11" t="str">
        <x:v>被动</x:v>
      </x:c>
      <x:c r="E18" s="11" t="str">
        <x:v>过期保养</x:v>
      </x:c>
      <x:c r="F18" s="11" t="str">
        <x:v>EFFECTIVE_HEAL：自身收到有效治疗</x:v>
      </x:c>
      <x:c r="G18" s="11" t="str">
        <x:v>自身</x:v>
      </x:c>
      <x:c r="H18" s="11" t="str">
        <x:v>获得相当于本次实际治疗量30%的BONE_ARMOR持续3秒；本被动护盾上限为自身10%最大生命。</x:v>
      </x:c>
      <x:c r="I18" s="13" t="n">
        <x:v>0</x:v>
      </x:c>
      <x:c r="J18" s="13" t="n">
        <x:v>2</x:v>
      </x:c>
      <x:c r="K18" s="13" t="n">
        <x:v>1</x:v>
      </x:c>
      <x:c r="L18" s="11" t="str">
        <x:v>遵循公共事件表E00；局部限制见效果</x:v>
      </x:c>
    </x:row>
    <x:row r="19" ht="42" customHeight="1">
      <x:c r="A19" s="3" t="str">
        <x:v>U_ZM_2A_P</x:v>
      </x:c>
      <x:c r="B19" s="3" t="str">
        <x:v>U_ZM_2A</x:v>
      </x:c>
      <x:c r="C19" s="3" t="str">
        <x:v>喷嚏播报员</x:v>
      </x:c>
      <x:c r="D19" s="3" t="str">
        <x:v>主技能</x:v>
      </x:c>
      <x:c r="E19" s="3" t="str">
        <x:v>本地疫情简报</x:v>
      </x:c>
      <x:c r="F19" s="3" t="str">
        <x:v>BASIC_HIT：自身每第3次命中</x:v>
      </x:c>
      <x:c r="G19" s="3" t="str">
        <x:v>普攻目标及其2米内最近2名敌人</x:v>
      </x:c>
      <x:c r="H19" s="3" t="str">
        <x:v>每人施加POISON 2层持续6秒；本技能对每目标最多4层。</x:v>
      </x:c>
      <x:c r="I19" s="12" t="n">
        <x:v>0</x:v>
      </x:c>
      <x:c r="J19" s="12" t="n">
        <x:v>3</x:v>
      </x:c>
      <x:c r="K19" s="12" t="n">
        <x:v>3</x:v>
      </x:c>
      <x:c r="L19" s="3" t="str">
        <x:v>遵循公共事件表E00；局部限制见效果</x:v>
      </x:c>
    </x:row>
    <x:row r="20" ht="42" customHeight="1">
      <x:c r="A20" s="11" t="str">
        <x:v>U_ZM_2A_V</x:v>
      </x:c>
      <x:c r="B20" s="11" t="str">
        <x:v>U_ZM_2A</x:v>
      </x:c>
      <x:c r="C20" s="11" t="str">
        <x:v>喷嚏播报员</x:v>
      </x:c>
      <x:c r="D20" s="11" t="str">
        <x:v>被动</x:v>
      </x:c>
      <x:c r="E20" s="11" t="str">
        <x:v>重复播报</x:v>
      </x:c>
      <x:c r="F20" s="11" t="str">
        <x:v>POISON_TICK：自身施加的毒对敌人造成实际伤害</x:v>
      </x:c>
      <x:c r="G20" s="11" t="str">
        <x:v>该中毒敌人2米内最近1名未带POISON敌人</x:v>
      </x:c>
      <x:c r="H20" s="11" t="str">
        <x:v>施加POISON 1层持续4秒；若无合格目标则不触发，不刷新已有毒。</x:v>
      </x:c>
      <x:c r="I20" s="13" t="n">
        <x:v>0</x:v>
      </x:c>
      <x:c r="J20" s="13" t="n">
        <x:v>2</x:v>
      </x:c>
      <x:c r="K20" s="13" t="n">
        <x:v>1</x:v>
      </x:c>
      <x:c r="L20" s="11" t="str">
        <x:v>遵循公共事件表E00；局部限制见效果</x:v>
      </x:c>
    </x:row>
    <x:row r="21" ht="42" customHeight="1">
      <x:c r="A21" s="3" t="str">
        <x:v>U_ZM_2B_P</x:v>
      </x:c>
      <x:c r="B21" s="3" t="str">
        <x:v>U_ZM_2B</x:v>
      </x:c>
      <x:c r="C21" s="3" t="str">
        <x:v>尸后护理员</x:v>
      </x:c>
      <x:c r="D21" s="3" t="str">
        <x:v>主技能</x:v>
      </x:c>
      <x:c r="E21" s="3" t="str">
        <x:v>售后缝合</x:v>
      </x:c>
      <x:c r="F21" s="3" t="str">
        <x:v>BASIC_HIT：自身每第3次命中</x:v>
      </x:c>
      <x:c r="G21" s="3" t="str">
        <x:v>4米内生命比例最低的2名正式友军</x:v>
      </x:c>
      <x:c r="H21" s="3" t="str">
        <x:v>各恢复相当于自身100%攻击力的生命；无伤员不储存治疗。</x:v>
      </x:c>
      <x:c r="I21" s="12" t="n">
        <x:v>1</x:v>
      </x:c>
      <x:c r="J21" s="12" t="n">
        <x:v>3</x:v>
      </x:c>
      <x:c r="K21" s="12" t="n">
        <x:v>2</x:v>
      </x:c>
      <x:c r="L21" s="3" t="str">
        <x:v>遵循公共事件表E00；局部限制见效果</x:v>
      </x:c>
    </x:row>
    <x:row r="22" ht="42" customHeight="1">
      <x:c r="A22" s="11" t="str">
        <x:v>U_ZM_2B_V</x:v>
      </x:c>
      <x:c r="B22" s="11" t="str">
        <x:v>U_ZM_2B</x:v>
      </x:c>
      <x:c r="C22" s="11" t="str">
        <x:v>尸后护理员</x:v>
      </x:c>
      <x:c r="D22" s="11" t="str">
        <x:v>被动</x:v>
      </x:c>
      <x:c r="E22" s="11" t="str">
        <x:v>回访</x:v>
      </x:c>
      <x:c r="F22" s="11" t="str">
        <x:v>EFFECTIVE_HEAL：自身主技实际治疗了友军</x:v>
      </x:c>
      <x:c r="G22" s="11" t="str">
        <x:v>本次被治疗友军2米内最近1名敌人</x:v>
      </x:c>
      <x:c r="H22" s="11" t="str">
        <x:v>施加POISON 1层持续5秒；每次主技至多触发1次回访。</x:v>
      </x:c>
      <x:c r="I22" s="13" t="n">
        <x:v>0</x:v>
      </x:c>
      <x:c r="J22" s="13" t="n">
        <x:v>3</x:v>
      </x:c>
      <x:c r="K22" s="13" t="n">
        <x:v>1</x:v>
      </x:c>
      <x:c r="L22" s="11" t="str">
        <x:v>遵循公共事件表E00；局部限制见效果</x:v>
      </x:c>
    </x:row>
    <x:row r="23" ht="42" customHeight="1">
      <x:c r="A23" s="3" t="str">
        <x:v>U_ZM_3A_P</x:v>
      </x:c>
      <x:c r="B23" s="3" t="str">
        <x:v>U_ZM_3A</x:v>
      </x:c>
      <x:c r="C23" s="3" t="str">
        <x:v>腐败发言棺</x:v>
      </x:c>
      <x:c r="D23" s="3" t="str">
        <x:v>主技能</x:v>
      </x:c>
      <x:c r="E23" s="3" t="str">
        <x:v>统一口径</x:v>
      </x:c>
      <x:c r="F23" s="3" t="str">
        <x:v>BASIC_HIT：自身每第3次命中</x:v>
      </x:c>
      <x:c r="G23" s="3" t="str">
        <x:v>普攻目标为中心半径3米最近4敌</x:v>
      </x:c>
      <x:c r="H23" s="3" t="str">
        <x:v>各施加POISON 2层持续6秒；本技能每目标最多5层。</x:v>
      </x:c>
      <x:c r="I23" s="12" t="n">
        <x:v>0</x:v>
      </x:c>
      <x:c r="J23" s="12" t="n">
        <x:v>4</x:v>
      </x:c>
      <x:c r="K23" s="12" t="n">
        <x:v>4</x:v>
      </x:c>
      <x:c r="L23" s="3" t="str">
        <x:v>遵循公共事件表E00；局部限制见效果</x:v>
      </x:c>
    </x:row>
    <x:row r="24" ht="42" customHeight="1">
      <x:c r="A24" s="11" t="str">
        <x:v>U_ZM_3A_V</x:v>
      </x:c>
      <x:c r="B24" s="11" t="str">
        <x:v>U_ZM_3A</x:v>
      </x:c>
      <x:c r="C24" s="11" t="str">
        <x:v>腐败发言棺</x:v>
      </x:c>
      <x:c r="D24" s="11" t="str">
        <x:v>被动</x:v>
      </x:c>
      <x:c r="E24" s="11" t="str">
        <x:v>遗体续订</x:v>
      </x:c>
      <x:c r="F24" s="11" t="str">
        <x:v>ENEMY_KO：6米内原生敌人死亡且留下可用尸骸</x:v>
      </x:c>
      <x:c r="G24" s="11" t="str">
        <x:v>6米内最近1具可用尸骸</x:v>
      </x:c>
      <x:c r="H24" s="11" t="str">
        <x:v>消耗1具尸骸，恢复自身12%最大生命，并向3米内最近2敌各施加POISON 1层持续5秒；无尸骸不发动。</x:v>
      </x:c>
      <x:c r="I24" s="13" t="n">
        <x:v>0</x:v>
      </x:c>
      <x:c r="J24" s="13" t="n">
        <x:v>5</x:v>
      </x:c>
      <x:c r="K24" s="13" t="n">
        <x:v>3</x:v>
      </x:c>
      <x:c r="L24" s="11" t="str">
        <x:v>遵循公共事件表E00；局部限制见效果</x:v>
      </x:c>
    </x:row>
    <x:row r="25" ht="42" customHeight="1">
      <x:c r="A25" s="3" t="str">
        <x:v>U_ZM_3B_P</x:v>
      </x:c>
      <x:c r="B25" s="3" t="str">
        <x:v>U_ZM_3B</x:v>
      </x:c>
      <x:c r="C25" s="3" t="str">
        <x:v>毒账核销师</x:v>
      </x:c>
      <x:c r="D25" s="3" t="str">
        <x:v>主技能</x:v>
      </x:c>
      <x:c r="E25" s="3" t="str">
        <x:v>提前结清</x:v>
      </x:c>
      <x:c r="F25" s="3" t="str">
        <x:v>BASIC_HIT：自身每第4次命中</x:v>
      </x:c>
      <x:c r="G25" s="3" t="str">
        <x:v>本次普攻目标</x:v>
      </x:c>
      <x:c r="H25" s="3" t="str">
        <x:v>造成100%攻击力法术技能伤害，并消耗目标最多3层POISON；每消耗1层额外造成40%攻击力法术伤害。消耗不触发POISON_TICK。</x:v>
      </x:c>
      <x:c r="I25" s="12" t="n">
        <x:v>1</x:v>
      </x:c>
      <x:c r="J25" s="12" t="n">
        <x:v>3</x:v>
      </x:c>
      <x:c r="K25" s="12" t="n">
        <x:v>1</x:v>
      </x:c>
      <x:c r="L25" s="3" t="str">
        <x:v>遵循公共事件表E00；局部限制见效果</x:v>
      </x:c>
    </x:row>
    <x:row r="26" ht="42" customHeight="1">
      <x:c r="A26" s="11" t="str">
        <x:v>U_ZM_3B_V</x:v>
      </x:c>
      <x:c r="B26" s="11" t="str">
        <x:v>U_ZM_3B</x:v>
      </x:c>
      <x:c r="C26" s="11" t="str">
        <x:v>毒账核销师</x:v>
      </x:c>
      <x:c r="D26" s="11" t="str">
        <x:v>被动</x:v>
      </x:c>
      <x:c r="E26" s="11" t="str">
        <x:v>清账返修</x:v>
      </x:c>
      <x:c r="F26" s="11" t="str">
        <x:v>POISON_TICK：5米内敌人受到实际毒伤</x:v>
      </x:c>
      <x:c r="G26" s="11" t="str">
        <x:v>5米内生命比例最低的正式友军</x:v>
      </x:c>
      <x:c r="H26" s="11" t="str">
        <x:v>恢复相当于自身35%攻击力生命。</x:v>
      </x:c>
      <x:c r="I26" s="13" t="n">
        <x:v>0.35</x:v>
      </x:c>
      <x:c r="J26" s="13" t="n">
        <x:v>2</x:v>
      </x:c>
      <x:c r="K26" s="13" t="n">
        <x:v>1</x:v>
      </x:c>
      <x:c r="L26" s="11" t="str">
        <x:v>遵循公共事件表E00；局部限制见效果</x:v>
      </x:c>
    </x:row>
    <x:row r="27" ht="42" customHeight="1">
      <x:c r="A27" s="3" t="str">
        <x:v>U_ZM_4_P</x:v>
      </x:c>
      <x:c r="B27" s="3" t="str">
        <x:v>U_ZM_4</x:v>
      </x:c>
      <x:c r="C27" s="3" t="str">
        <x:v>终身腐利院长</x:v>
      </x:c>
      <x:c r="D27" s="3" t="str">
        <x:v>主技能</x:v>
      </x:c>
      <x:c r="E27" s="3" t="str">
        <x:v>包吃包腐</x:v>
      </x:c>
      <x:c r="F27" s="3" t="str">
        <x:v>BASIC_HIT：自身每第3次命中</x:v>
      </x:c>
      <x:c r="G27" s="3" t="str">
        <x:v>5米内生命比例最低3名正式友军与最近3敌</x:v>
      </x:c>
      <x:c r="H27" s="3" t="str">
        <x:v>友军各恢复100%攻击力生命；敌人各获POISON 2层持续6秒，本技能每敌最多5层。</x:v>
      </x:c>
      <x:c r="I27" s="12" t="n">
        <x:v>1</x:v>
      </x:c>
      <x:c r="J27" s="12" t="n">
        <x:v>4</x:v>
      </x:c>
      <x:c r="K27" s="12" t="n">
        <x:v>6</x:v>
      </x:c>
      <x:c r="L27" s="3" t="str">
        <x:v>遵循公共事件表E00；局部限制见效果</x:v>
      </x:c>
    </x:row>
    <x:row r="28" ht="42" customHeight="1">
      <x:c r="A28" s="11" t="str">
        <x:v>U_ZM_4_V</x:v>
      </x:c>
      <x:c r="B28" s="11" t="str">
        <x:v>U_ZM_4</x:v>
      </x:c>
      <x:c r="C28" s="11" t="str">
        <x:v>终身腐利院长</x:v>
      </x:c>
      <x:c r="D28" s="11" t="str">
        <x:v>被动</x:v>
      </x:c>
      <x:c r="E28" s="11" t="str">
        <x:v>好评返肉</x:v>
      </x:c>
      <x:c r="F28" s="11" t="str">
        <x:v>EFFECTIVE_HEAL：5米内正式友军得到有效治疗</x:v>
      </x:c>
      <x:c r="G28" s="11" t="str">
        <x:v>被治疗友军2米内最近1敌</x:v>
      </x:c>
      <x:c r="H28" s="11" t="str">
        <x:v>造成等于实际治疗量40%的法术技能伤害；单次伤害不超过自身150%攻击力。</x:v>
      </x:c>
      <x:c r="I28" s="13" t="n">
        <x:v>0</x:v>
      </x:c>
      <x:c r="J28" s="13" t="n">
        <x:v>1</x:v>
      </x:c>
      <x:c r="K28" s="13" t="n">
        <x:v>1</x:v>
      </x:c>
      <x:c r="L28" s="11" t="str">
        <x:v>遵循公共事件表E00；局部限制见效果</x:v>
      </x:c>
    </x:row>
    <x:row r="29" ht="57" customHeight="1">
      <x:c r="A29" s="3" t="str">
        <x:v>U_HR_1_P</x:v>
      </x:c>
      <x:c r="B29" s="3" t="str">
        <x:v>U_HR_1</x:v>
      </x:c>
      <x:c r="C29" s="3" t="str">
        <x:v>迟到丧马</x:v>
      </x:c>
      <x:c r="D29" s="3" t="str">
        <x:v>主技能</x:v>
      </x:c>
      <x:c r="E29" s="3" t="str">
        <x:v>最后一公里</x:v>
      </x:c>
      <x:c r="F29" s="3" t="str">
        <x:v>BASIC_HIT：自身每第3次命中</x:v>
      </x:c>
      <x:c r="G29" s="3" t="str">
        <x:v>距自身2至6米的最近敌人；没有则当前普攻目标</x:v>
      </x:c>
      <x:c r="H29" s="3" t="str">
        <x:v>向目标冲刺，位移最多6米；路径最多命中2敌，各造成80%攻击力物理技能伤害。位移结束产生1次DASH_END，位移不足1米不产生。</x:v>
      </x:c>
      <x:c r="I29" s="12" t="n">
        <x:v>0.8</x:v>
      </x:c>
      <x:c r="J29" s="12" t="n">
        <x:v>4</x:v>
      </x:c>
      <x:c r="K29" s="12" t="n">
        <x:v>2</x:v>
      </x:c>
      <x:c r="L29" s="3" t="str">
        <x:v>遵循公共事件表E00；局部限制见效果</x:v>
      </x:c>
    </x:row>
    <x:row r="30" ht="42" customHeight="1">
      <x:c r="A30" s="11" t="str">
        <x:v>U_HR_1_V</x:v>
      </x:c>
      <x:c r="B30" s="11" t="str">
        <x:v>U_HR_1</x:v>
      </x:c>
      <x:c r="C30" s="11" t="str">
        <x:v>迟到丧马</x:v>
      </x:c>
      <x:c r="D30" s="11" t="str">
        <x:v>被动</x:v>
      </x:c>
      <x:c r="E30" s="11" t="str">
        <x:v>到货震动</x:v>
      </x:c>
      <x:c r="F30" s="11" t="str">
        <x:v>DASH_END：自身移动至少1米后结束冲刺</x:v>
      </x:c>
      <x:c r="G30" s="11" t="str">
        <x:v>终点2米内最近1敌</x:v>
      </x:c>
      <x:c r="H30" s="11" t="str">
        <x:v>施加EXPOSED 1层持续4秒；本技能同目标最多1层。</x:v>
      </x:c>
      <x:c r="I30" s="13" t="n">
        <x:v>0</x:v>
      </x:c>
      <x:c r="J30" s="13" t="n">
        <x:v>3</x:v>
      </x:c>
      <x:c r="K30" s="13" t="n">
        <x:v>1</x:v>
      </x:c>
      <x:c r="L30" s="11" t="str">
        <x:v>遵循公共事件表E00；局部限制见效果</x:v>
      </x:c>
    </x:row>
    <x:row r="31" ht="42" customHeight="1">
      <x:c r="A31" s="3" t="str">
        <x:v>U_HR_2A_P</x:v>
      </x:c>
      <x:c r="B31" s="3" t="str">
        <x:v>U_HR_2A</x:v>
      </x:c>
      <x:c r="C31" s="3" t="str">
        <x:v>拒收骨枪骑</x:v>
      </x:c>
      <x:c r="D31" s="3" t="str">
        <x:v>主技能</x:v>
      </x:c>
      <x:c r="E31" s="3" t="str">
        <x:v>签收由不得你</x:v>
      </x:c>
      <x:c r="F31" s="3" t="str">
        <x:v>BASIC_HIT：自身每第3次命中</x:v>
      </x:c>
      <x:c r="G31" s="3" t="str">
        <x:v>前方2至8米最远敌人</x:v>
      </x:c>
      <x:c r="H31" s="3" t="str">
        <x:v>冲刺至目标近侧，位移最多8米；路径最多3敌各受120%攻击力物理技能伤害。至少移动1米产生DASH_END。</x:v>
      </x:c>
      <x:c r="I31" s="12" t="n">
        <x:v>1.2</x:v>
      </x:c>
      <x:c r="J31" s="12" t="n">
        <x:v>5</x:v>
      </x:c>
      <x:c r="K31" s="12" t="n">
        <x:v>3</x:v>
      </x:c>
      <x:c r="L31" s="3" t="str">
        <x:v>遵循公共事件表E00；局部限制见效果</x:v>
      </x:c>
    </x:row>
    <x:row r="32" ht="27" customHeight="1">
      <x:c r="A32" s="11" t="str">
        <x:v>U_HR_2A_V</x:v>
      </x:c>
      <x:c r="B32" s="11" t="str">
        <x:v>U_HR_2A</x:v>
      </x:c>
      <x:c r="C32" s="11" t="str">
        <x:v>拒收骨枪骑</x:v>
      </x:c>
      <x:c r="D32" s="11" t="str">
        <x:v>被动</x:v>
      </x:c>
      <x:c r="E32" s="11" t="str">
        <x:v>拆包骨刺</x:v>
      </x:c>
      <x:c r="F32" s="11" t="str">
        <x:v>DASH_END：自身冲刺结束</x:v>
      </x:c>
      <x:c r="G32" s="11" t="str">
        <x:v>终点2米内最近2敌</x:v>
      </x:c>
      <x:c r="H32" s="11" t="str">
        <x:v>各施加EXPOSED 1层持续5秒，本技能每目标最多2层。</x:v>
      </x:c>
      <x:c r="I32" s="13" t="n">
        <x:v>0</x:v>
      </x:c>
      <x:c r="J32" s="13" t="n">
        <x:v>4</x:v>
      </x:c>
      <x:c r="K32" s="13" t="n">
        <x:v>2</x:v>
      </x:c>
      <x:c r="L32" s="11" t="str">
        <x:v>遵循公共事件表E00；局部限制见效果</x:v>
      </x:c>
    </x:row>
    <x:row r="33" ht="42" customHeight="1">
      <x:c r="A33" s="3" t="str">
        <x:v>U_HR_2B_P</x:v>
      </x:c>
      <x:c r="B33" s="3" t="str">
        <x:v>U_HR_2B</x:v>
      </x:c>
      <x:c r="C33" s="3" t="str">
        <x:v>冷链灵柩马</x:v>
      </x:c>
      <x:c r="D33" s="3" t="str">
        <x:v>主技能</x:v>
      </x:c>
      <x:c r="E33" s="3" t="str">
        <x:v>冷链配送</x:v>
      </x:c>
      <x:c r="F33" s="3" t="str">
        <x:v>BASIC_HIT：自身每第3次命中</x:v>
      </x:c>
      <x:c r="G33" s="3" t="str">
        <x:v>6米内生命比例最低的正式友军</x:v>
      </x:c>
      <x:c r="H33" s="3" t="str">
        <x:v>冲刺到该友军旁1米处，最多移动6米；抵达后恢复目标130%攻击力生命。无伤员则不冲刺也不消耗普攻计数。</x:v>
      </x:c>
      <x:c r="I33" s="12" t="n">
        <x:v>1.3</x:v>
      </x:c>
      <x:c r="J33" s="12" t="n">
        <x:v>5</x:v>
      </x:c>
      <x:c r="K33" s="12" t="n">
        <x:v>1</x:v>
      </x:c>
      <x:c r="L33" s="3" t="str">
        <x:v>遵循公共事件表E00；局部限制见效果</x:v>
      </x:c>
    </x:row>
    <x:row r="34" ht="27" customHeight="1">
      <x:c r="A34" s="11" t="str">
        <x:v>U_HR_2B_V</x:v>
      </x:c>
      <x:c r="B34" s="11" t="str">
        <x:v>U_HR_2B</x:v>
      </x:c>
      <x:c r="C34" s="11" t="str">
        <x:v>冷链灵柩马</x:v>
      </x:c>
      <x:c r="D34" s="11" t="str">
        <x:v>被动</x:v>
      </x:c>
      <x:c r="E34" s="11" t="str">
        <x:v>到站降温</x:v>
      </x:c>
      <x:c r="F34" s="11" t="str">
        <x:v>DASH_END：自身冲刺结束</x:v>
      </x:c>
      <x:c r="G34" s="11" t="str">
        <x:v>终点2米内最近2敌</x:v>
      </x:c>
      <x:c r="H34" s="11" t="str">
        <x:v>各施加CHILL 1层持续4秒；本技能每目标最多2层。</x:v>
      </x:c>
      <x:c r="I34" s="13" t="n">
        <x:v>0</x:v>
      </x:c>
      <x:c r="J34" s="13" t="n">
        <x:v>4</x:v>
      </x:c>
      <x:c r="K34" s="13" t="n">
        <x:v>2</x:v>
      </x:c>
      <x:c r="L34" s="11" t="str">
        <x:v>遵循公共事件表E00；局部限制见效果</x:v>
      </x:c>
    </x:row>
    <x:row r="35" ht="42" customHeight="1">
      <x:c r="A35" s="3" t="str">
        <x:v>U_HR_3A_P</x:v>
      </x:c>
      <x:c r="B35" s="3" t="str">
        <x:v>U_HR_3A</x:v>
      </x:c>
      <x:c r="C35" s="3" t="str">
        <x:v>追尾骨骑长</x:v>
      </x:c>
      <x:c r="D35" s="3" t="str">
        <x:v>主技能</x:v>
      </x:c>
      <x:c r="E35" s="3" t="str">
        <x:v>全责冲锋</x:v>
      </x:c>
      <x:c r="F35" s="3" t="str">
        <x:v>BASIC_HIT：自身每第3次命中</x:v>
      </x:c>
      <x:c r="G35" s="3" t="str">
        <x:v>2至9米生命比例最低的敌人</x:v>
      </x:c>
      <x:c r="H35" s="3" t="str">
        <x:v>冲刺最多9米，路径最多4敌各受110%攻击力物理伤害并沿冲刺方向推开1.5米；大型敌人仅受伤害。</x:v>
      </x:c>
      <x:c r="I35" s="12" t="n">
        <x:v>1.1</x:v>
      </x:c>
      <x:c r="J35" s="12" t="n">
        <x:v>5</x:v>
      </x:c>
      <x:c r="K35" s="12" t="n">
        <x:v>4</x:v>
      </x:c>
      <x:c r="L35" s="3" t="str">
        <x:v>遵循公共事件表E00；局部限制见效果</x:v>
      </x:c>
    </x:row>
    <x:row r="36" ht="42" customHeight="1">
      <x:c r="A36" s="11" t="str">
        <x:v>U_HR_3A_V</x:v>
      </x:c>
      <x:c r="B36" s="11" t="str">
        <x:v>U_HR_3A</x:v>
      </x:c>
      <x:c r="C36" s="11" t="str">
        <x:v>追尾骨骑长</x:v>
      </x:c>
      <x:c r="D36" s="11" t="str">
        <x:v>被动</x:v>
      </x:c>
      <x:c r="E36" s="11" t="str">
        <x:v>事故现场</x:v>
      </x:c>
      <x:c r="F36" s="11" t="str">
        <x:v>DASH_END：自身冲刺至少1米后结束</x:v>
      </x:c>
      <x:c r="G36" s="11" t="str">
        <x:v>终点3米内最近3敌</x:v>
      </x:c>
      <x:c r="H36" s="11" t="str">
        <x:v>各施加EXPOSED 1层持续5秒，并使自身获得12%最大生命BONE_ARMOR持续4秒。</x:v>
      </x:c>
      <x:c r="I36" s="13" t="n">
        <x:v>0</x:v>
      </x:c>
      <x:c r="J36" s="13" t="n">
        <x:v>4</x:v>
      </x:c>
      <x:c r="K36" s="13" t="n">
        <x:v>4</x:v>
      </x:c>
      <x:c r="L36" s="11" t="str">
        <x:v>遵循公共事件表E00；局部限制见效果</x:v>
      </x:c>
    </x:row>
    <x:row r="37" ht="42" customHeight="1">
      <x:c r="A37" s="3" t="str">
        <x:v>U_HR_3B_P</x:v>
      </x:c>
      <x:c r="B37" s="3" t="str">
        <x:v>U_HR_3B</x:v>
      </x:c>
      <x:c r="C37" s="3" t="str">
        <x:v>回魂驿站长</x:v>
      </x:c>
      <x:c r="D37" s="3" t="str">
        <x:v>主技能</x:v>
      </x:c>
      <x:c r="E37" s="3" t="str">
        <x:v>换乘阴间线</x:v>
      </x:c>
      <x:c r="F37" s="3" t="str">
        <x:v>BASIC_HIT：自身每第3次命中</x:v>
      </x:c>
      <x:c r="G37" s="3" t="str">
        <x:v>8米内最远的受伤正式友军</x:v>
      </x:c>
      <x:c r="H37" s="3" t="str">
        <x:v>冲刺至友军旁1米，最多移动8米；治疗终点3米内生命比例最低3名正式友军，各100%攻击力。</x:v>
      </x:c>
      <x:c r="I37" s="12" t="n">
        <x:v>1</x:v>
      </x:c>
      <x:c r="J37" s="12" t="n">
        <x:v>5</x:v>
      </x:c>
      <x:c r="K37" s="12" t="n">
        <x:v>3</x:v>
      </x:c>
      <x:c r="L37" s="3" t="str">
        <x:v>遵循公共事件表E00；局部限制见效果</x:v>
      </x:c>
    </x:row>
    <x:row r="38" ht="42" customHeight="1">
      <x:c r="A38" s="11" t="str">
        <x:v>U_HR_3B_V</x:v>
      </x:c>
      <x:c r="B38" s="11" t="str">
        <x:v>U_HR_3B</x:v>
      </x:c>
      <x:c r="C38" s="11" t="str">
        <x:v>回魂驿站长</x:v>
      </x:c>
      <x:c r="D38" s="11" t="str">
        <x:v>被动</x:v>
      </x:c>
      <x:c r="E38" s="11" t="str">
        <x:v>候车区</x:v>
      </x:c>
      <x:c r="F38" s="11" t="str">
        <x:v>DASH_END：自身冲刺至少1米后结束</x:v>
      </x:c>
      <x:c r="G38" s="11" t="str">
        <x:v>终点3米内最近3名正式友军</x:v>
      </x:c>
      <x:c r="H38" s="11" t="str">
        <x:v>各获得HASTE 1层持续4秒；本技能最多1层。</x:v>
      </x:c>
      <x:c r="I38" s="13" t="n">
        <x:v>0</x:v>
      </x:c>
      <x:c r="J38" s="13" t="n">
        <x:v>4</x:v>
      </x:c>
      <x:c r="K38" s="13" t="n">
        <x:v>3</x:v>
      </x:c>
      <x:c r="L38" s="11" t="str">
        <x:v>遵循公共事件表E00；局部限制见效果</x:v>
      </x:c>
    </x:row>
    <x:row r="39" ht="42" customHeight="1">
      <x:c r="A39" s="3" t="str">
        <x:v>U_HR_4_P</x:v>
      </x:c>
      <x:c r="B39" s="3" t="str">
        <x:v>U_HR_4</x:v>
      </x:c>
      <x:c r="C39" s="3" t="str">
        <x:v>末班灵车王</x:v>
      </x:c>
      <x:c r="D39" s="3" t="str">
        <x:v>主技能</x:v>
      </x:c>
      <x:c r="E39" s="3" t="str">
        <x:v>末班不等活人</x:v>
      </x:c>
      <x:c r="F39" s="3" t="str">
        <x:v>BASIC_HIT：自身每第3次命中</x:v>
      </x:c>
      <x:c r="G39" s="3" t="str">
        <x:v>2至10米最远敌人</x:v>
      </x:c>
      <x:c r="H39" s="3" t="str">
        <x:v>冲刺最多10米，路径最多5敌各受130%攻击力物理伤害；至少移动1米产生DASH_END。</x:v>
      </x:c>
      <x:c r="I39" s="12" t="n">
        <x:v>1.3</x:v>
      </x:c>
      <x:c r="J39" s="12" t="n">
        <x:v>5</x:v>
      </x:c>
      <x:c r="K39" s="12" t="n">
        <x:v>5</x:v>
      </x:c>
      <x:c r="L39" s="3" t="str">
        <x:v>遵循公共事件表E00；局部限制见效果</x:v>
      </x:c>
    </x:row>
    <x:row r="40" ht="42" customHeight="1">
      <x:c r="A40" s="11" t="str">
        <x:v>U_HR_4_V</x:v>
      </x:c>
      <x:c r="B40" s="11" t="str">
        <x:v>U_HR_4</x:v>
      </x:c>
      <x:c r="C40" s="11" t="str">
        <x:v>末班灵车王</x:v>
      </x:c>
      <x:c r="D40" s="11" t="str">
        <x:v>被动</x:v>
      </x:c>
      <x:c r="E40" s="11" t="str">
        <x:v>有座请上车</x:v>
      </x:c>
      <x:c r="F40" s="11" t="str">
        <x:v>DASH_END：自身冲刺结束</x:v>
      </x:c>
      <x:c r="G40" s="11" t="str">
        <x:v>终点4米内生命比例最低3名正式友军</x:v>
      </x:c>
      <x:c r="H40" s="11" t="str">
        <x:v>各恢复90%攻击力生命并获得90%攻击力BONE_ARMOR持续4秒。</x:v>
      </x:c>
      <x:c r="I40" s="13" t="n">
        <x:v>0.9</x:v>
      </x:c>
      <x:c r="J40" s="13" t="n">
        <x:v>4</x:v>
      </x:c>
      <x:c r="K40" s="13" t="n">
        <x:v>3</x:v>
      </x:c>
      <x:c r="L40" s="11" t="str">
        <x:v>遵循公共事件表E00；局部限制见效果</x:v>
      </x:c>
    </x:row>
    <x:row r="41" ht="42" customHeight="1">
      <x:c r="A41" s="3" t="str">
        <x:v>U_HD_1_P</x:v>
      </x:c>
      <x:c r="B41" s="3" t="str">
        <x:v>U_HD_1</x:v>
      </x:c>
      <x:c r="C41" s="3" t="str">
        <x:v>单手临时工</x:v>
      </x:c>
      <x:c r="D41" s="3" t="str">
        <x:v>主技能</x:v>
      </x:c>
      <x:c r="E41" s="3" t="str">
        <x:v>加班两下</x:v>
      </x:c>
      <x:c r="F41" s="3" t="str">
        <x:v>BASIC_HIT：自身每第4次命中</x:v>
      </x:c>
      <x:c r="G41" s="3" t="str">
        <x:v>本次普攻目标</x:v>
      </x:c>
      <x:c r="H41" s="3" t="str">
        <x:v>连续造成2次45%攻击力物理技能伤害，间隔0.15秒；目标死亡后剩余次数取消。</x:v>
      </x:c>
      <x:c r="I41" s="12" t="n">
        <x:v>0.45</x:v>
      </x:c>
      <x:c r="J41" s="12" t="n">
        <x:v>2</x:v>
      </x:c>
      <x:c r="K41" s="12" t="n">
        <x:v>1</x:v>
      </x:c>
      <x:c r="L41" s="3" t="str">
        <x:v>遵循公共事件表E00；局部限制见效果</x:v>
      </x:c>
    </x:row>
    <x:row r="42" ht="27" customHeight="1">
      <x:c r="A42" s="11" t="str">
        <x:v>U_HD_1_V</x:v>
      </x:c>
      <x:c r="B42" s="11" t="str">
        <x:v>U_HD_1</x:v>
      </x:c>
      <x:c r="C42" s="11" t="str">
        <x:v>单手临时工</x:v>
      </x:c>
      <x:c r="D42" s="11" t="str">
        <x:v>被动</x:v>
      </x:c>
      <x:c r="E42" s="11" t="str">
        <x:v>收工摸鱼</x:v>
      </x:c>
      <x:c r="F42" s="11" t="str">
        <x:v>ENEMY_KO：3米内原生敌人死亡</x:v>
      </x:c>
      <x:c r="G42" s="11" t="str">
        <x:v>自身</x:v>
      </x:c>
      <x:c r="H42" s="11" t="str">
        <x:v>恢复6%最大生命；不消耗尸骸，也不制造现金或经验。</x:v>
      </x:c>
      <x:c r="I42" s="13" t="n">
        <x:v>0</x:v>
      </x:c>
      <x:c r="J42" s="13" t="n">
        <x:v>3</x:v>
      </x:c>
      <x:c r="K42" s="13" t="n">
        <x:v>1</x:v>
      </x:c>
      <x:c r="L42" s="11" t="str">
        <x:v>遵循公共事件表E00；局部限制见效果</x:v>
      </x:c>
    </x:row>
    <x:row r="43" ht="57" customHeight="1">
      <x:c r="A43" s="3" t="str">
        <x:v>U_HD_2A_P</x:v>
      </x:c>
      <x:c r="B43" s="3" t="str">
        <x:v>U_HD_2A</x:v>
      </x:c>
      <x:c r="C43" s="3" t="str">
        <x:v>拆指包工头</x:v>
      </x:c>
      <x:c r="D43" s="3" t="str">
        <x:v>主技能</x:v>
      </x:c>
      <x:c r="E43" s="3" t="str">
        <x:v>再分一个岗位</x:v>
      </x:c>
      <x:c r="F43" s="3" t="str">
        <x:v>BASIC_HIT：自身每第4次命中</x:v>
      </x:c>
      <x:c r="G43" s="3" t="str">
        <x:v>自身1米内空位</x:v>
      </x:c>
      <x:c r="H43" s="3" t="str">
        <x:v>召唤1只临时骨指，存活8秒；单施法者最多3只。骨指HP30、ATK5、PHY、APS1.2、护甲0、移速3、射程0.7、暴击0；无技能无尸骸，服从全队12只临时兵上限。</x:v>
      </x:c>
      <x:c r="I43" s="12" t="n">
        <x:v>0</x:v>
      </x:c>
      <x:c r="J43" s="12" t="n">
        <x:v>3</x:v>
      </x:c>
      <x:c r="K43" s="12" t="n">
        <x:v>1</x:v>
      </x:c>
      <x:c r="L43" s="3" t="str">
        <x:v>遵循公共事件表E00；局部限制见效果</x:v>
      </x:c>
    </x:row>
    <x:row r="44" ht="42" customHeight="1">
      <x:c r="A44" s="11" t="str">
        <x:v>U_HD_2A_V</x:v>
      </x:c>
      <x:c r="B44" s="11" t="str">
        <x:v>U_HD_2A</x:v>
      </x:c>
      <x:c r="C44" s="11" t="str">
        <x:v>拆指包工头</x:v>
      </x:c>
      <x:c r="D44" s="11" t="str">
        <x:v>被动</x:v>
      </x:c>
      <x:c r="E44" s="11" t="str">
        <x:v>岗位继承</x:v>
      </x:c>
      <x:c r="F44" s="11" t="str">
        <x:v>ALLY_KO：自身召唤的骨指被敌方击倒</x:v>
      </x:c>
      <x:c r="G44" s="11" t="str">
        <x:v>自身</x:v>
      </x:c>
      <x:c r="H44" s="11" t="str">
        <x:v>获得HASTE 1层持续4秒；本技能最多2层。骨指寿命到期不触发。</x:v>
      </x:c>
      <x:c r="I44" s="13" t="n">
        <x:v>0</x:v>
      </x:c>
      <x:c r="J44" s="13" t="n">
        <x:v>2</x:v>
      </x:c>
      <x:c r="K44" s="13" t="n">
        <x:v>1</x:v>
      </x:c>
      <x:c r="L44" s="11" t="str">
        <x:v>遵循公共事件表E00；局部限制见效果</x:v>
      </x:c>
    </x:row>
    <x:row r="45" ht="42" customHeight="1">
      <x:c r="A45" s="3" t="str">
        <x:v>U_HD_2B_P</x:v>
      </x:c>
      <x:c r="B45" s="3" t="str">
        <x:v>U_HD_2B</x:v>
      </x:c>
      <x:c r="C45" s="3" t="str">
        <x:v>漏电接线手</x:v>
      </x:c>
      <x:c r="D45" s="3" t="str">
        <x:v>主技能</x:v>
      </x:c>
      <x:c r="E45" s="3" t="str">
        <x:v>湿手操作</x:v>
      </x:c>
      <x:c r="F45" s="3" t="str">
        <x:v>BASIC_HIT：自身每第3次命中</x:v>
      </x:c>
      <x:c r="G45" s="3" t="str">
        <x:v>本次普攻目标</x:v>
      </x:c>
      <x:c r="H45" s="3" t="str">
        <x:v>造成80%攻击力法术技能伤害，并施加WET持续5秒、SHOCK 1层持续4秒。</x:v>
      </x:c>
      <x:c r="I45" s="12" t="n">
        <x:v>0.8</x:v>
      </x:c>
      <x:c r="J45" s="12" t="n">
        <x:v>2</x:v>
      </x:c>
      <x:c r="K45" s="12" t="n">
        <x:v>1</x:v>
      </x:c>
      <x:c r="L45" s="3" t="str">
        <x:v>遵循公共事件表E00；局部限制见效果</x:v>
      </x:c>
    </x:row>
    <x:row r="46" ht="42" customHeight="1">
      <x:c r="A46" s="11" t="str">
        <x:v>U_HD_2B_V</x:v>
      </x:c>
      <x:c r="B46" s="11" t="str">
        <x:v>U_HD_2B</x:v>
      </x:c>
      <x:c r="C46" s="11" t="str">
        <x:v>漏电接线手</x:v>
      </x:c>
      <x:c r="D46" s="11" t="str">
        <x:v>被动</x:v>
      </x:c>
      <x:c r="E46" s="11" t="str">
        <x:v>带电转交</x:v>
      </x:c>
      <x:c r="F46" s="11" t="str">
        <x:v>DIRECT_CRIT：自身普攻暴击</x:v>
      </x:c>
      <x:c r="G46" s="11" t="str">
        <x:v>被暴击目标2米内最近另一敌人</x:v>
      </x:c>
      <x:c r="H46" s="11" t="str">
        <x:v>造成60%攻击力法术技能伤害；目标若已有WET，再施加SHOCK 1层持续4秒。</x:v>
      </x:c>
      <x:c r="I46" s="13" t="n">
        <x:v>0.6</x:v>
      </x:c>
      <x:c r="J46" s="13" t="n">
        <x:v>2</x:v>
      </x:c>
      <x:c r="K46" s="13" t="n">
        <x:v>1</x:v>
      </x:c>
      <x:c r="L46" s="11" t="str">
        <x:v>遵循公共事件表E00；局部限制见效果</x:v>
      </x:c>
    </x:row>
    <x:row r="47" ht="72" customHeight="1">
      <x:c r="A47" s="3" t="str">
        <x:v>U_HD_3A_P</x:v>
      </x:c>
      <x:c r="B47" s="3" t="str">
        <x:v>U_HD_3A</x:v>
      </x:c>
      <x:c r="C47" s="3" t="str">
        <x:v>千手裁员官</x:v>
      </x:c>
      <x:c r="D47" s="3" t="str">
        <x:v>主技能</x:v>
      </x:c>
      <x:c r="E47" s="3" t="str">
        <x:v>一岗多用</x:v>
      </x:c>
      <x:c r="F47" s="3" t="str">
        <x:v>BASIC_HIT：自身每第4次命中</x:v>
      </x:c>
      <x:c r="G47" s="3" t="str">
        <x:v>自身1米内空位及5米内最近可用尸骸</x:v>
      </x:c>
      <x:c r="H47" s="3" t="str">
        <x:v>召唤1只临时骨指，存活10秒；若有尸骸则自动消耗1具并额外召唤1只。单施法者最多4只。骨指HP35、ATK7、PHY、APS1.2、护甲0、移速3、射程0.7、暴击0；无技能无尸骸。必须先检查2个空余名额才消耗尸骸，否则只尝试基础1只。</x:v>
      </x:c>
      <x:c r="I47" s="12" t="n">
        <x:v>0</x:v>
      </x:c>
      <x:c r="J47" s="12" t="n">
        <x:v>4</x:v>
      </x:c>
      <x:c r="K47" s="12" t="n">
        <x:v>2</x:v>
      </x:c>
      <x:c r="L47" s="3" t="str">
        <x:v>遵循公共事件表E00；局部限制见效果</x:v>
      </x:c>
    </x:row>
    <x:row r="48" ht="42" customHeight="1">
      <x:c r="A48" s="11" t="str">
        <x:v>U_HD_3A_V</x:v>
      </x:c>
      <x:c r="B48" s="11" t="str">
        <x:v>U_HD_3A</x:v>
      </x:c>
      <x:c r="C48" s="11" t="str">
        <x:v>千手裁员官</x:v>
      </x:c>
      <x:c r="D48" s="11" t="str">
        <x:v>被动</x:v>
      </x:c>
      <x:c r="E48" s="11" t="str">
        <x:v>空岗补贴</x:v>
      </x:c>
      <x:c r="F48" s="11" t="str">
        <x:v>SUMMON：自身成功生成骨指</x:v>
      </x:c>
      <x:c r="G48" s="11" t="str">
        <x:v>自身</x:v>
      </x:c>
      <x:c r="H48" s="11" t="str">
        <x:v>获得相当于自身5%最大生命的BONE_ARMOR持续4秒；本被动护盾最多15%最大生命。</x:v>
      </x:c>
      <x:c r="I48" s="13" t="n">
        <x:v>0</x:v>
      </x:c>
      <x:c r="J48" s="13" t="n">
        <x:v>1</x:v>
      </x:c>
      <x:c r="K48" s="13" t="n">
        <x:v>1</x:v>
      </x:c>
      <x:c r="L48" s="11" t="str">
        <x:v>遵循公共事件表E00；局部限制见效果</x:v>
      </x:c>
    </x:row>
    <x:row r="49" ht="42" customHeight="1">
      <x:c r="A49" s="3" t="str">
        <x:v>U_HD_3B_P</x:v>
      </x:c>
      <x:c r="B49" s="3" t="str">
        <x:v>U_HD_3B</x:v>
      </x:c>
      <x:c r="C49" s="3" t="str">
        <x:v>抹账断腕</x:v>
      </x:c>
      <x:c r="D49" s="3" t="str">
        <x:v>主技能</x:v>
      </x:c>
      <x:c r="E49" s="3" t="str">
        <x:v>签字画押</x:v>
      </x:c>
      <x:c r="F49" s="3" t="str">
        <x:v>BASIC_HIT：自身每第3次命中</x:v>
      </x:c>
      <x:c r="G49" s="3" t="str">
        <x:v>本次普攻目标</x:v>
      </x:c>
      <x:c r="H49" s="3" t="str">
        <x:v>施加SOUL_BRAND持续5秒，并造成110%攻击力物理技能伤害；若目标生命比例低于30%，改为170%攻击力。</x:v>
      </x:c>
      <x:c r="I49" s="12" t="n">
        <x:v>1.1</x:v>
      </x:c>
      <x:c r="J49" s="12" t="n">
        <x:v>2.5</x:v>
      </x:c>
      <x:c r="K49" s="12" t="n">
        <x:v>1</x:v>
      </x:c>
      <x:c r="L49" s="3" t="str">
        <x:v>遵循公共事件表E00；局部限制见效果</x:v>
      </x:c>
    </x:row>
    <x:row r="50" ht="42" customHeight="1">
      <x:c r="A50" s="11" t="str">
        <x:v>U_HD_3B_V</x:v>
      </x:c>
      <x:c r="B50" s="11" t="str">
        <x:v>U_HD_3B</x:v>
      </x:c>
      <x:c r="C50" s="11" t="str">
        <x:v>抹账断腕</x:v>
      </x:c>
      <x:c r="D50" s="11" t="str">
        <x:v>被动</x:v>
      </x:c>
      <x:c r="E50" s="11" t="str">
        <x:v>尾款结清</x:v>
      </x:c>
      <x:c r="F50" s="11" t="str">
        <x:v>DIRECT_CRIT：自身普攻暴击且目标带SOUL_BRAND</x:v>
      </x:c>
      <x:c r="G50" s="11" t="str">
        <x:v>自身</x:v>
      </x:c>
      <x:c r="H50" s="11" t="str">
        <x:v>恢复相当于自身80%攻击力的生命；不消耗SOUL_BRAND。</x:v>
      </x:c>
      <x:c r="I50" s="13" t="n">
        <x:v>0.8</x:v>
      </x:c>
      <x:c r="J50" s="13" t="n">
        <x:v>2</x:v>
      </x:c>
      <x:c r="K50" s="13" t="n">
        <x:v>1</x:v>
      </x:c>
      <x:c r="L50" s="11" t="str">
        <x:v>遵循公共事件表E00；局部限制见效果</x:v>
      </x:c>
    </x:row>
    <x:row r="51" ht="57" customHeight="1">
      <x:c r="A51" s="3" t="str">
        <x:v>U_HD_4_P</x:v>
      </x:c>
      <x:c r="B51" s="3" t="str">
        <x:v>U_HD_4</x:v>
      </x:c>
      <x:c r="C51" s="3" t="str">
        <x:v>十指董事会</x:v>
      </x:c>
      <x:c r="D51" s="3" t="str">
        <x:v>主技能</x:v>
      </x:c>
      <x:c r="E51" s="3" t="str">
        <x:v>全票通过</x:v>
      </x:c>
      <x:c r="F51" s="3" t="str">
        <x:v>BASIC_HIT：自身每第4次命中</x:v>
      </x:c>
      <x:c r="G51" s="3" t="str">
        <x:v>自身1米内空位</x:v>
      </x:c>
      <x:c r="H51" s="3" t="str">
        <x:v>召唤2只临时骨掌，存活10秒；单施法者最多4只。骨掌HP55、ATK10、PHY、APS1.0、护甲3、移速3、射程1、暴击0；无技能无尸骸。服从全队12上限。</x:v>
      </x:c>
      <x:c r="I51" s="12" t="n">
        <x:v>0</x:v>
      </x:c>
      <x:c r="J51" s="12" t="n">
        <x:v>4</x:v>
      </x:c>
      <x:c r="K51" s="12" t="n">
        <x:v>2</x:v>
      </x:c>
      <x:c r="L51" s="3" t="str">
        <x:v>遵循公共事件表E00；局部限制见效果</x:v>
      </x:c>
    </x:row>
    <x:row r="52" ht="42" customHeight="1">
      <x:c r="A52" s="11" t="str">
        <x:v>U_HD_4_V</x:v>
      </x:c>
      <x:c r="B52" s="11" t="str">
        <x:v>U_HD_4</x:v>
      </x:c>
      <x:c r="C52" s="11" t="str">
        <x:v>十指董事会</x:v>
      </x:c>
      <x:c r="D52" s="11" t="str">
        <x:v>被动</x:v>
      </x:c>
      <x:c r="E52" s="11" t="str">
        <x:v>一致通过</x:v>
      </x:c>
      <x:c r="F52" s="11" t="str">
        <x:v>ALLY_KO：自身召唤的骨掌被敌方击倒</x:v>
      </x:c>
      <x:c r="G52" s="11" t="str">
        <x:v>倒地位置3米内生命比例最低1敌</x:v>
      </x:c>
      <x:c r="H52" s="11" t="str">
        <x:v>施加SOUL_BRAND持续5秒，并造成110%攻击力法术技能伤害；寿命到期不触发。</x:v>
      </x:c>
      <x:c r="I52" s="13" t="n">
        <x:v>1.1</x:v>
      </x:c>
      <x:c r="J52" s="13" t="n">
        <x:v>1.5</x:v>
      </x:c>
      <x:c r="K52" s="13" t="n">
        <x:v>1</x:v>
      </x:c>
      <x:c r="L52" s="11" t="str">
        <x:v>遵循公共事件表E00；局部限制见效果</x:v>
      </x:c>
    </x:row>
    <x:row r="53" ht="42" customHeight="1">
      <x:c r="A53" s="3" t="str">
        <x:v>U_BL_1_P</x:v>
      </x:c>
      <x:c r="B53" s="3" t="str">
        <x:v>U_BL_1</x:v>
      </x:c>
      <x:c r="C53" s="3" t="str">
        <x:v>骨铃实习生</x:v>
      </x:c>
      <x:c r="D53" s="3" t="str">
        <x:v>主技能</x:v>
      </x:c>
      <x:c r="E53" s="3" t="str">
        <x:v>例行慰问</x:v>
      </x:c>
      <x:c r="F53" s="3" t="str">
        <x:v>BASIC_HIT：自身每第3次命中</x:v>
      </x:c>
      <x:c r="G53" s="3" t="str">
        <x:v>5米内生命比例最低1名正式友军</x:v>
      </x:c>
      <x:c r="H53" s="3" t="str">
        <x:v>恢复150%攻击力生命；无伤员则不储存治疗。</x:v>
      </x:c>
      <x:c r="I53" s="12" t="n">
        <x:v>1.5</x:v>
      </x:c>
      <x:c r="J53" s="12" t="n">
        <x:v>2</x:v>
      </x:c>
      <x:c r="K53" s="12" t="n">
        <x:v>1</x:v>
      </x:c>
      <x:c r="L53" s="3" t="str">
        <x:v>遵循公共事件表E00；局部限制见效果</x:v>
      </x:c>
    </x:row>
    <x:row r="54" ht="42" customHeight="1">
      <x:c r="A54" s="11" t="str">
        <x:v>U_BL_1_V</x:v>
      </x:c>
      <x:c r="B54" s="11" t="str">
        <x:v>U_BL_1</x:v>
      </x:c>
      <x:c r="C54" s="11" t="str">
        <x:v>骨铃实习生</x:v>
      </x:c>
      <x:c r="D54" s="11" t="str">
        <x:v>被动</x:v>
      </x:c>
      <x:c r="E54" s="11" t="str">
        <x:v>慰问附件</x:v>
      </x:c>
      <x:c r="F54" s="11" t="str">
        <x:v>EFFECTIVE_HEAL：自身主技实际治疗友军</x:v>
      </x:c>
      <x:c r="G54" s="11" t="str">
        <x:v>该治疗目标</x:v>
      </x:c>
      <x:c r="H54" s="11" t="str">
        <x:v>给予相当于本次实际治疗量25%的BONE_ARMOR持续3秒；本技能最多1份护盾。</x:v>
      </x:c>
      <x:c r="I54" s="13" t="n">
        <x:v>0</x:v>
      </x:c>
      <x:c r="J54" s="13" t="n">
        <x:v>2</x:v>
      </x:c>
      <x:c r="K54" s="13" t="n">
        <x:v>1</x:v>
      </x:c>
      <x:c r="L54" s="11" t="str">
        <x:v>遵循公共事件表E00；局部限制见效果</x:v>
      </x:c>
    </x:row>
    <x:row r="55" ht="57" customHeight="1">
      <x:c r="A55" s="3" t="str">
        <x:v>U_BL_2A_P</x:v>
      </x:c>
      <x:c r="B55" s="3" t="str">
        <x:v>U_BL_2A</x:v>
      </x:c>
      <x:c r="C55" s="3" t="str">
        <x:v>报丧修复师</x:v>
      </x:c>
      <x:c r="D55" s="3" t="str">
        <x:v>主技能</x:v>
      </x:c>
      <x:c r="E55" s="3" t="str">
        <x:v>集体慰问</x:v>
      </x:c>
      <x:c r="F55" s="3" t="str">
        <x:v>BASIC_HIT：自身每第3次命中</x:v>
      </x:c>
      <x:c r="G55" s="3" t="str">
        <x:v>5米内生命比例最低友军为中心3米内最多3名受伤正式友军</x:v>
      </x:c>
      <x:c r="H55" s="3" t="str">
        <x:v>各恢复95%攻击力生命。</x:v>
      </x:c>
      <x:c r="I55" s="12" t="n">
        <x:v>0.95</x:v>
      </x:c>
      <x:c r="J55" s="12" t="n">
        <x:v>3</x:v>
      </x:c>
      <x:c r="K55" s="12" t="n">
        <x:v>3</x:v>
      </x:c>
      <x:c r="L55" s="3" t="str">
        <x:v>遵循公共事件表E00；局部限制见效果</x:v>
      </x:c>
    </x:row>
    <x:row r="56" ht="42" customHeight="1">
      <x:c r="A56" s="11" t="str">
        <x:v>U_BL_2A_V</x:v>
      </x:c>
      <x:c r="B56" s="11" t="str">
        <x:v>U_BL_2A</x:v>
      </x:c>
      <x:c r="C56" s="11" t="str">
        <x:v>报丧修复师</x:v>
      </x:c>
      <x:c r="D56" s="11" t="str">
        <x:v>被动</x:v>
      </x:c>
      <x:c r="E56" s="11" t="str">
        <x:v>活不了但能动</x:v>
      </x:c>
      <x:c r="F56" s="11" t="str">
        <x:v>EFFECTIVE_HEAL：自身主技实际治疗了友军</x:v>
      </x:c>
      <x:c r="G56" s="11" t="str">
        <x:v>本次主技中实际治疗量最高的1名正式友军</x:v>
      </x:c>
      <x:c r="H56" s="11" t="str">
        <x:v>给予HASTE 1层持续3秒，本技能最多1层；每次主技仅选1人。</x:v>
      </x:c>
      <x:c r="I56" s="13" t="n">
        <x:v>0</x:v>
      </x:c>
      <x:c r="J56" s="13" t="n">
        <x:v>3</x:v>
      </x:c>
      <x:c r="K56" s="13" t="n">
        <x:v>1</x:v>
      </x:c>
      <x:c r="L56" s="11" t="str">
        <x:v>遵循公共事件表E00；局部限制见效果</x:v>
      </x:c>
    </x:row>
    <x:row r="57" ht="42" customHeight="1">
      <x:c r="A57" s="3" t="str">
        <x:v>U_BL_2B_P</x:v>
      </x:c>
      <x:c r="B57" s="3" t="str">
        <x:v>U_BL_2B</x:v>
      </x:c>
      <x:c r="C57" s="3" t="str">
        <x:v>冻薪报丧人</x:v>
      </x:c>
      <x:c r="D57" s="3" t="str">
        <x:v>主技能</x:v>
      </x:c>
      <x:c r="E57" s="3" t="str">
        <x:v>冷静通知</x:v>
      </x:c>
      <x:c r="F57" s="3" t="str">
        <x:v>BASIC_HIT：自身每第3次命中</x:v>
      </x:c>
      <x:c r="G57" s="3" t="str">
        <x:v>普攻目标及其2米内最近1敌</x:v>
      </x:c>
      <x:c r="H57" s="3" t="str">
        <x:v>各造成70%攻击力法术技能伤害并施加CHILL 1层持续4秒。</x:v>
      </x:c>
      <x:c r="I57" s="12" t="n">
        <x:v>0.7</x:v>
      </x:c>
      <x:c r="J57" s="12" t="n">
        <x:v>3</x:v>
      </x:c>
      <x:c r="K57" s="12" t="n">
        <x:v>2</x:v>
      </x:c>
      <x:c r="L57" s="3" t="str">
        <x:v>遵循公共事件表E00；局部限制见效果</x:v>
      </x:c>
    </x:row>
    <x:row r="58" ht="27" customHeight="1">
      <x:c r="A58" s="11" t="str">
        <x:v>U_BL_2B_V</x:v>
      </x:c>
      <x:c r="B58" s="11" t="str">
        <x:v>U_BL_2B</x:v>
      </x:c>
      <x:c r="C58" s="11" t="str">
        <x:v>冻薪报丧人</x:v>
      </x:c>
      <x:c r="D58" s="11" t="str">
        <x:v>被动</x:v>
      </x:c>
      <x:c r="E58" s="11" t="str">
        <x:v>噩耗复读</x:v>
      </x:c>
      <x:c r="F58" s="11" t="str">
        <x:v>ENEMY_KO：6米内原生敌人死亡</x:v>
      </x:c>
      <x:c r="G58" s="11" t="str">
        <x:v>死者3米内最近1敌</x:v>
      </x:c>
      <x:c r="H58" s="11" t="str">
        <x:v>施加CHILL 1层持续4秒；无敌人则不触发。</x:v>
      </x:c>
      <x:c r="I58" s="13" t="n">
        <x:v>0</x:v>
      </x:c>
      <x:c r="J58" s="13" t="n">
        <x:v>3</x:v>
      </x:c>
      <x:c r="K58" s="13" t="n">
        <x:v>1</x:v>
      </x:c>
      <x:c r="L58" s="11" t="str">
        <x:v>遵循公共事件表E00；局部限制见效果</x:v>
      </x:c>
    </x:row>
    <x:row r="59" ht="42" customHeight="1">
      <x:c r="A59" s="3" t="str">
        <x:v>U_BL_3A_P</x:v>
      </x:c>
      <x:c r="B59" s="3" t="str">
        <x:v>U_BL_3A</x:v>
      </x:c>
      <x:c r="C59" s="3" t="str">
        <x:v>追悼指挥</x:v>
      </x:c>
      <x:c r="D59" s="3" t="str">
        <x:v>主技能</x:v>
      </x:c>
      <x:c r="E59" s="3" t="str">
        <x:v>奏响返工曲</x:v>
      </x:c>
      <x:c r="F59" s="3" t="str">
        <x:v>BASIC_HIT：自身每第3次命中</x:v>
      </x:c>
      <x:c r="G59" s="3" t="str">
        <x:v>6米内生命比例最低3名正式友军</x:v>
      </x:c>
      <x:c r="H59" s="3" t="str">
        <x:v>各恢复100%攻击力生命，并给予HASTE 1层持续4秒；本技能HASTE最多1层。</x:v>
      </x:c>
      <x:c r="I59" s="12" t="n">
        <x:v>1</x:v>
      </x:c>
      <x:c r="J59" s="12" t="n">
        <x:v>4</x:v>
      </x:c>
      <x:c r="K59" s="12" t="n">
        <x:v>3</x:v>
      </x:c>
      <x:c r="L59" s="3" t="str">
        <x:v>遵循公共事件表E00；局部限制见效果</x:v>
      </x:c>
    </x:row>
    <x:row r="60" ht="42" customHeight="1">
      <x:c r="A60" s="11" t="str">
        <x:v>U_BL_3A_V</x:v>
      </x:c>
      <x:c r="B60" s="11" t="str">
        <x:v>U_BL_3A</x:v>
      </x:c>
      <x:c r="C60" s="11" t="str">
        <x:v>追悼指挥</x:v>
      </x:c>
      <x:c r="D60" s="11" t="str">
        <x:v>被动</x:v>
      </x:c>
      <x:c r="E60" s="11" t="str">
        <x:v>弦断续奏</x:v>
      </x:c>
      <x:c r="F60" s="11" t="str">
        <x:v>SHIELD_BREAK：6米内正式友军护盾被敌方耗尽</x:v>
      </x:c>
      <x:c r="G60" s="11" t="str">
        <x:v>护盾破裂的正式友军</x:v>
      </x:c>
      <x:c r="H60" s="11" t="str">
        <x:v>恢复60%攻击力生命。</x:v>
      </x:c>
      <x:c r="I60" s="13" t="n">
        <x:v>0.6</x:v>
      </x:c>
      <x:c r="J60" s="13" t="n">
        <x:v>2</x:v>
      </x:c>
      <x:c r="K60" s="13" t="n">
        <x:v>1</x:v>
      </x:c>
      <x:c r="L60" s="11" t="str">
        <x:v>遵循公共事件表E00；局部限制见效果</x:v>
      </x:c>
    </x:row>
    <x:row r="61" ht="42" customHeight="1">
      <x:c r="A61" s="3" t="str">
        <x:v>U_BL_3B_P</x:v>
      </x:c>
      <x:c r="B61" s="3" t="str">
        <x:v>U_BL_3B</x:v>
      </x:c>
      <x:c r="C61" s="3" t="str">
        <x:v>触电悼词官</x:v>
      </x:c>
      <x:c r="D61" s="3" t="str">
        <x:v>主技能</x:v>
      </x:c>
      <x:c r="E61" s="3" t="str">
        <x:v>请保持通电</x:v>
      </x:c>
      <x:c r="F61" s="3" t="str">
        <x:v>BASIC_HIT：自身每第3次命中</x:v>
      </x:c>
      <x:c r="G61" s="3" t="str">
        <x:v>普攻目标及其3米内最近2敌</x:v>
      </x:c>
      <x:c r="H61" s="3" t="str">
        <x:v>各造成100%攻击力法术技能伤害；带WET者额外获得SHOCK 1层持续4秒。</x:v>
      </x:c>
      <x:c r="I61" s="12" t="n">
        <x:v>1</x:v>
      </x:c>
      <x:c r="J61" s="12" t="n">
        <x:v>3.5</x:v>
      </x:c>
      <x:c r="K61" s="12" t="n">
        <x:v>3</x:v>
      </x:c>
      <x:c r="L61" s="3" t="str">
        <x:v>遵循公共事件表E00；局部限制见效果</x:v>
      </x:c>
    </x:row>
    <x:row r="62" ht="42" customHeight="1">
      <x:c r="A62" s="11" t="str">
        <x:v>U_BL_3B_V</x:v>
      </x:c>
      <x:c r="B62" s="11" t="str">
        <x:v>U_BL_3B</x:v>
      </x:c>
      <x:c r="C62" s="11" t="str">
        <x:v>触电悼词官</x:v>
      </x:c>
      <x:c r="D62" s="11" t="str">
        <x:v>被动</x:v>
      </x:c>
      <x:c r="E62" s="11" t="str">
        <x:v>电报复核</x:v>
      </x:c>
      <x:c r="F62" s="11" t="str">
        <x:v>DIRECT_CRIT：自身普攻暴击</x:v>
      </x:c>
      <x:c r="G62" s="11" t="str">
        <x:v>被暴击目标</x:v>
      </x:c>
      <x:c r="H62" s="11" t="str">
        <x:v>施加WET持续5秒；若目标原本已有WET，改额外造成60%攻击力法术伤害。</x:v>
      </x:c>
      <x:c r="I62" s="13" t="n">
        <x:v>0.6</x:v>
      </x:c>
      <x:c r="J62" s="13" t="n">
        <x:v>2</x:v>
      </x:c>
      <x:c r="K62" s="13" t="n">
        <x:v>1</x:v>
      </x:c>
      <x:c r="L62" s="11" t="str">
        <x:v>遵循公共事件表E00；局部限制见效果</x:v>
      </x:c>
    </x:row>
    <x:row r="63" ht="42" customHeight="1">
      <x:c r="A63" s="3" t="str">
        <x:v>U_BL_4_P</x:v>
      </x:c>
      <x:c r="B63" s="3" t="str">
        <x:v>U_BL_4</x:v>
      </x:c>
      <x:c r="C63" s="3" t="str">
        <x:v>哀乐总裁</x:v>
      </x:c>
      <x:c r="D63" s="3" t="str">
        <x:v>主技能</x:v>
      </x:c>
      <x:c r="E63" s="3" t="str">
        <x:v>集团慰问</x:v>
      </x:c>
      <x:c r="F63" s="3" t="str">
        <x:v>BASIC_HIT：自身每第3次命中</x:v>
      </x:c>
      <x:c r="G63" s="3" t="str">
        <x:v>全场生命比例最低4名正式友军</x:v>
      </x:c>
      <x:c r="H63" s="3" t="str">
        <x:v>各恢复110%攻击力生命；实际获得治疗者同时获得60%攻击力BONE_ARMOR持续4秒。</x:v>
      </x:c>
      <x:c r="I63" s="12" t="n">
        <x:v>1.1</x:v>
      </x:c>
      <x:c r="J63" s="12" t="n">
        <x:v>4</x:v>
      </x:c>
      <x:c r="K63" s="12" t="n">
        <x:v>4</x:v>
      </x:c>
      <x:c r="L63" s="3" t="str">
        <x:v>遵循公共事件表E00；局部限制见效果</x:v>
      </x:c>
    </x:row>
    <x:row r="64" ht="42" customHeight="1">
      <x:c r="A64" s="11" t="str">
        <x:v>U_BL_4_V</x:v>
      </x:c>
      <x:c r="B64" s="11" t="str">
        <x:v>U_BL_4</x:v>
      </x:c>
      <x:c r="C64" s="11" t="str">
        <x:v>哀乐总裁</x:v>
      </x:c>
      <x:c r="D64" s="11" t="str">
        <x:v>被动</x:v>
      </x:c>
      <x:c r="E64" s="11" t="str">
        <x:v>悼词回响</x:v>
      </x:c>
      <x:c r="F64" s="11" t="str">
        <x:v>ALLY_KO：8米内友军被敌方击倒</x:v>
      </x:c>
      <x:c r="G64" s="11" t="str">
        <x:v>倒地位置3米内最近3敌</x:v>
      </x:c>
      <x:c r="H64" s="11" t="str">
        <x:v>各施加SOUL_BRAND持续6秒，并造成80%攻击力法术技能伤害；同一友军每波仅触发1次，管理献祭和寿命到期不触发。</x:v>
      </x:c>
      <x:c r="I64" s="13" t="n">
        <x:v>0.8</x:v>
      </x:c>
      <x:c r="J64" s="13" t="n">
        <x:v>3</x:v>
      </x:c>
      <x:c r="K64" s="13" t="n">
        <x:v>3</x:v>
      </x:c>
      <x:c r="L64" s="11" t="str">
        <x:v>遵循公共事件表E00；局部限制见效果</x:v>
      </x:c>
    </x:row>
    <x:row r="65" ht="27" customHeight="1">
      <x:c r="A65" s="3" t="str">
        <x:v>U_CF_1_P</x:v>
      </x:c>
      <x:c r="B65" s="3" t="str">
        <x:v>U_CF_1</x:v>
      </x:c>
      <x:c r="C65" s="3" t="str">
        <x:v>经济适用棺</x:v>
      </x:c>
      <x:c r="D65" s="3" t="str">
        <x:v>主技能</x:v>
      </x:c>
      <x:c r="E65" s="3" t="str">
        <x:v>最低居住保障</x:v>
      </x:c>
      <x:c r="F65" s="3" t="str">
        <x:v>BASIC_HIT：自身每第3次命中</x:v>
      </x:c>
      <x:c r="G65" s="3" t="str">
        <x:v>自身</x:v>
      </x:c>
      <x:c r="H65" s="3" t="str">
        <x:v>获得15%最大生命BONE_ARMOR持续5秒；本技能护盾最多1份。</x:v>
      </x:c>
      <x:c r="I65" s="12" t="n">
        <x:v>0</x:v>
      </x:c>
      <x:c r="J65" s="12" t="n">
        <x:v>3</x:v>
      </x:c>
      <x:c r="K65" s="12" t="n">
        <x:v>1</x:v>
      </x:c>
      <x:c r="L65" s="3" t="str">
        <x:v>遵循公共事件表E00；局部限制见效果</x:v>
      </x:c>
    </x:row>
    <x:row r="66" ht="42" customHeight="1">
      <x:c r="A66" s="11" t="str">
        <x:v>U_CF_1_V</x:v>
      </x:c>
      <x:c r="B66" s="11" t="str">
        <x:v>U_CF_1</x:v>
      </x:c>
      <x:c r="C66" s="11" t="str">
        <x:v>经济适用棺</x:v>
      </x:c>
      <x:c r="D66" s="11" t="str">
        <x:v>被动</x:v>
      </x:c>
      <x:c r="E66" s="11" t="str">
        <x:v>就地入住</x:v>
      </x:c>
      <x:c r="F66" s="11" t="str">
        <x:v>ENEMY_KO：3米内原生敌人死亡且有可用尸骸</x:v>
      </x:c>
      <x:c r="G66" s="11" t="str">
        <x:v>3米内最近1具可用尸骸</x:v>
      </x:c>
      <x:c r="H66" s="11" t="str">
        <x:v>消耗尸骸并恢复自身10%最大生命；无尸骸不发动。</x:v>
      </x:c>
      <x:c r="I66" s="13" t="n">
        <x:v>0</x:v>
      </x:c>
      <x:c r="J66" s="13" t="n">
        <x:v>5</x:v>
      </x:c>
      <x:c r="K66" s="13" t="n">
        <x:v>1</x:v>
      </x:c>
      <x:c r="L66" s="11" t="str">
        <x:v>遵循公共事件表E00；局部限制见效果</x:v>
      </x:c>
    </x:row>
    <x:row r="67" ht="57" customHeight="1">
      <x:c r="A67" s="3" t="str">
        <x:v>U_CF_2A_P</x:v>
      </x:c>
      <x:c r="B67" s="3" t="str">
        <x:v>U_CF_2A</x:v>
      </x:c>
      <x:c r="C67" s="3" t="str">
        <x:v>合租停尸棺</x:v>
      </x:c>
      <x:c r="D67" s="3" t="str">
        <x:v>主技能</x:v>
      </x:c>
      <x:c r="E67" s="3" t="str">
        <x:v>还有一个床位</x:v>
      </x:c>
      <x:c r="F67" s="3" t="str">
        <x:v>BASIC_HIT：自身每第3次命中</x:v>
      </x:c>
      <x:c r="G67" s="3" t="str">
        <x:v>自身1米内空位</x:v>
      </x:c>
      <x:c r="H67" s="3" t="str">
        <x:v>召唤1只临时棺仆，存活10秒；单施法者最多2只。棺仆HP60、ATK7、PHY、APS0.8、护甲4、移速2、射程1、暴击0；无技能无尸骸，服从全队12上限。</x:v>
      </x:c>
      <x:c r="I67" s="12" t="n">
        <x:v>0</x:v>
      </x:c>
      <x:c r="J67" s="12" t="n">
        <x:v>5</x:v>
      </x:c>
      <x:c r="K67" s="12" t="n">
        <x:v>1</x:v>
      </x:c>
      <x:c r="L67" s="3" t="str">
        <x:v>遵循公共事件表E00；局部限制见效果</x:v>
      </x:c>
    </x:row>
    <x:row r="68" ht="42" customHeight="1">
      <x:c r="A68" s="11" t="str">
        <x:v>U_CF_2A_V</x:v>
      </x:c>
      <x:c r="B68" s="11" t="str">
        <x:v>U_CF_2A</x:v>
      </x:c>
      <x:c r="C68" s="11" t="str">
        <x:v>合租停尸棺</x:v>
      </x:c>
      <x:c r="D68" s="11" t="str">
        <x:v>被动</x:v>
      </x:c>
      <x:c r="E68" s="11" t="str">
        <x:v>押金暂不退</x:v>
      </x:c>
      <x:c r="F68" s="11" t="str">
        <x:v>ALLY_KO：自身临时棺仆被敌方击倒</x:v>
      </x:c>
      <x:c r="G68" s="11" t="str">
        <x:v>自身</x:v>
      </x:c>
      <x:c r="H68" s="11" t="str">
        <x:v>获得12%最大生命BONE_ARMOR持续5秒；本被动护盾最多1份。寿命到期不触发。</x:v>
      </x:c>
      <x:c r="I68" s="13" t="n">
        <x:v>0</x:v>
      </x:c>
      <x:c r="J68" s="13" t="n">
        <x:v>3</x:v>
      </x:c>
      <x:c r="K68" s="13" t="n">
        <x:v>1</x:v>
      </x:c>
      <x:c r="L68" s="11" t="str">
        <x:v>遵循公共事件表E00；局部限制见效果</x:v>
      </x:c>
    </x:row>
    <x:row r="69" ht="42" customHeight="1">
      <x:c r="A69" s="3" t="str">
        <x:v>U_CF_2B_P</x:v>
      </x:c>
      <x:c r="B69" s="3" t="str">
        <x:v>U_CF_2B</x:v>
      </x:c>
      <x:c r="C69" s="3" t="str">
        <x:v>焚单火棺</x:v>
      </x:c>
      <x:c r="D69" s="3" t="str">
        <x:v>主技能</x:v>
      </x:c>
      <x:c r="E69" s="3" t="str">
        <x:v>销毁历史账单</x:v>
      </x:c>
      <x:c r="F69" s="3" t="str">
        <x:v>BASIC_HIT：自身每第3次命中</x:v>
      </x:c>
      <x:c r="G69" s="3" t="str">
        <x:v>普攻目标周围2米最近3敌</x:v>
      </x:c>
      <x:c r="H69" s="3" t="str">
        <x:v>各造成80%攻击力法术技能伤害并施加BURN 1层持续5秒。</x:v>
      </x:c>
      <x:c r="I69" s="12" t="n">
        <x:v>0.8</x:v>
      </x:c>
      <x:c r="J69" s="12" t="n">
        <x:v>4</x:v>
      </x:c>
      <x:c r="K69" s="12" t="n">
        <x:v>3</x:v>
      </x:c>
      <x:c r="L69" s="3" t="str">
        <x:v>遵循公共事件表E00；局部限制见效果</x:v>
      </x:c>
    </x:row>
    <x:row r="70" ht="42" customHeight="1">
      <x:c r="A70" s="11" t="str">
        <x:v>U_CF_2B_V</x:v>
      </x:c>
      <x:c r="B70" s="11" t="str">
        <x:v>U_CF_2B</x:v>
      </x:c>
      <x:c r="C70" s="11" t="str">
        <x:v>焚单火棺</x:v>
      </x:c>
      <x:c r="D70" s="11" t="str">
        <x:v>被动</x:v>
      </x:c>
      <x:c r="E70" s="11" t="str">
        <x:v>木料回收</x:v>
      </x:c>
      <x:c r="F70" s="11" t="str">
        <x:v>CORPSE_CONSUME：5米内正式友军实际消耗尸骸</x:v>
      </x:c>
      <x:c r="G70" s="11" t="str">
        <x:v>自身</x:v>
      </x:c>
      <x:c r="H70" s="11" t="str">
        <x:v>获得HASTE 1层持续4秒；本技能最多1层。</x:v>
      </x:c>
      <x:c r="I70" s="13" t="n">
        <x:v>0</x:v>
      </x:c>
      <x:c r="J70" s="13" t="n">
        <x:v>3</x:v>
      </x:c>
      <x:c r="K70" s="13" t="n">
        <x:v>1</x:v>
      </x:c>
      <x:c r="L70" s="11" t="str">
        <x:v>遵循公共事件表E00；局部限制见效果</x:v>
      </x:c>
    </x:row>
    <x:row r="71" ht="42" customHeight="1">
      <x:c r="A71" s="3" t="str">
        <x:v>U_CF_3A_P</x:v>
      </x:c>
      <x:c r="B71" s="3" t="str">
        <x:v>U_CF_3A</x:v>
      </x:c>
      <x:c r="C71" s="3" t="str">
        <x:v>钉子户守棺</x:v>
      </x:c>
      <x:c r="D71" s="3" t="str">
        <x:v>主技能</x:v>
      </x:c>
      <x:c r="E71" s="3" t="str">
        <x:v>此处谢绝拆迁</x:v>
      </x:c>
      <x:c r="F71" s="3" t="str">
        <x:v>BASIC_HIT：自身每第3次命中</x:v>
      </x:c>
      <x:c r="G71" s="3" t="str">
        <x:v>自身及3米内最近3敌</x:v>
      </x:c>
      <x:c r="H71" s="3" t="str">
        <x:v>自身获得22%最大生命BONE_ARMOR持续6秒；敌人TAUNTED指向自身2.5秒。</x:v>
      </x:c>
      <x:c r="I71" s="12" t="n">
        <x:v>0</x:v>
      </x:c>
      <x:c r="J71" s="12" t="n">
        <x:v>4</x:v>
      </x:c>
      <x:c r="K71" s="12" t="n">
        <x:v>4</x:v>
      </x:c>
      <x:c r="L71" s="3" t="str">
        <x:v>遵循公共事件表E00；局部限制见效果</x:v>
      </x:c>
    </x:row>
    <x:row r="72" ht="42" customHeight="1">
      <x:c r="A72" s="11" t="str">
        <x:v>U_CF_3A_V</x:v>
      </x:c>
      <x:c r="B72" s="11" t="str">
        <x:v>U_CF_3A</x:v>
      </x:c>
      <x:c r="C72" s="11" t="str">
        <x:v>钉子户守棺</x:v>
      </x:c>
      <x:c r="D72" s="11" t="str">
        <x:v>被动</x:v>
      </x:c>
      <x:c r="E72" s="11" t="str">
        <x:v>遗产代管</x:v>
      </x:c>
      <x:c r="F72" s="11" t="str">
        <x:v>ALLY_KO：4米内正式友军首次倒地并留下可用尸骸</x:v>
      </x:c>
      <x:c r="G72" s="11" t="str">
        <x:v>该次正式友军尸骸</x:v>
      </x:c>
      <x:c r="H72" s="11" t="str">
        <x:v>消耗尸骸，使4米内生命比例最低2名正式友军各恢复100%攻击力生命；不复活被消耗者，不影响其战后名单恢复。</x:v>
      </x:c>
      <x:c r="I72" s="13" t="n">
        <x:v>1</x:v>
      </x:c>
      <x:c r="J72" s="13" t="n">
        <x:v>5</x:v>
      </x:c>
      <x:c r="K72" s="13" t="n">
        <x:v>2</x:v>
      </x:c>
      <x:c r="L72" s="11" t="str">
        <x:v>遵循公共事件表E00；局部限制见效果</x:v>
      </x:c>
    </x:row>
    <x:row r="73" ht="57" customHeight="1">
      <x:c r="A73" s="3" t="str">
        <x:v>U_CF_3B_P</x:v>
      </x:c>
      <x:c r="B73" s="3" t="str">
        <x:v>U_CF_3B</x:v>
      </x:c>
      <x:c r="C73" s="3" t="str">
        <x:v>骨灰代理商</x:v>
      </x:c>
      <x:c r="D73" s="3" t="str">
        <x:v>主技能</x:v>
      </x:c>
      <x:c r="E73" s="3" t="str">
        <x:v>一站式处理</x:v>
      </x:c>
      <x:c r="F73" s="3" t="str">
        <x:v>BASIC_HIT：自身每第3次命中</x:v>
      </x:c>
      <x:c r="G73" s="3" t="str">
        <x:v>普攻目标周围3米最近3敌及6米内最近1具可用尸骸</x:v>
      </x:c>
      <x:c r="H73" s="3" t="str">
        <x:v>各敌人受到100%攻击力法术伤害；有尸骸则消耗1具，倍率提高至180%。无尸骸仍正常施法。</x:v>
      </x:c>
      <x:c r="I73" s="12" t="n">
        <x:v>1</x:v>
      </x:c>
      <x:c r="J73" s="12" t="n">
        <x:v>4</x:v>
      </x:c>
      <x:c r="K73" s="12" t="n">
        <x:v>3</x:v>
      </x:c>
      <x:c r="L73" s="3" t="str">
        <x:v>遵循公共事件表E00；局部限制见效果</x:v>
      </x:c>
    </x:row>
    <x:row r="74" ht="42" customHeight="1">
      <x:c r="A74" s="11" t="str">
        <x:v>U_CF_3B_V</x:v>
      </x:c>
      <x:c r="B74" s="11" t="str">
        <x:v>U_CF_3B</x:v>
      </x:c>
      <x:c r="C74" s="11" t="str">
        <x:v>骨灰代理商</x:v>
      </x:c>
      <x:c r="D74" s="11" t="str">
        <x:v>被动</x:v>
      </x:c>
      <x:c r="E74" s="11" t="str">
        <x:v>处理回执</x:v>
      </x:c>
      <x:c r="F74" s="11" t="str">
        <x:v>CORPSE_CONSUME：自身主技成功消耗尸骸</x:v>
      </x:c>
      <x:c r="G74" s="11" t="str">
        <x:v>被主技命中的最近1敌</x:v>
      </x:c>
      <x:c r="H74" s="11" t="str">
        <x:v>施加SOUL_BRAND持续6秒。</x:v>
      </x:c>
      <x:c r="I74" s="13" t="n">
        <x:v>0</x:v>
      </x:c>
      <x:c r="J74" s="13" t="n">
        <x:v>4</x:v>
      </x:c>
      <x:c r="K74" s="13" t="n">
        <x:v>1</x:v>
      </x:c>
      <x:c r="L74" s="11" t="str">
        <x:v>遵循公共事件表E00；局部限制见效果</x:v>
      </x:c>
    </x:row>
    <x:row r="75" ht="72" customHeight="1">
      <x:c r="A75" s="3" t="str">
        <x:v>U_CF_4_P</x:v>
      </x:c>
      <x:c r="B75" s="3" t="str">
        <x:v>U_CF_4</x:v>
      </x:c>
      <x:c r="C75" s="3" t="str">
        <x:v>阴间地产王</x:v>
      </x:c>
      <x:c r="D75" s="3" t="str">
        <x:v>主技能</x:v>
      </x:c>
      <x:c r="E75" s="3" t="str">
        <x:v>新增永久住户</x:v>
      </x:c>
      <x:c r="F75" s="3" t="str">
        <x:v>BASIC_HIT：自身每第3次命中</x:v>
      </x:c>
      <x:c r="G75" s="3" t="str">
        <x:v>自身2米内空位及6米内最近1具可用尸骸</x:v>
      </x:c>
      <x:c r="H75" s="3" t="str">
        <x:v>召唤1只临时棺卫，存活12秒；若存在尸骸且至少2个临时名额可用，消耗1具并额外召唤1只。单施法者最多3只。棺卫HP90、ATK12、PHY、APS0.8、护甲8、移速2、射程1.2、暴击0；无技能无尸骸。</x:v>
      </x:c>
      <x:c r="I75" s="12" t="n">
        <x:v>0</x:v>
      </x:c>
      <x:c r="J75" s="12" t="n">
        <x:v>5</x:v>
      </x:c>
      <x:c r="K75" s="12" t="n">
        <x:v>2</x:v>
      </x:c>
      <x:c r="L75" s="3" t="str">
        <x:v>遵循公共事件表E00；局部限制见效果</x:v>
      </x:c>
    </x:row>
    <x:row r="76" ht="42" customHeight="1">
      <x:c r="A76" s="11" t="str">
        <x:v>U_CF_4_V</x:v>
      </x:c>
      <x:c r="B76" s="11" t="str">
        <x:v>U_CF_4</x:v>
      </x:c>
      <x:c r="C76" s="11" t="str">
        <x:v>阴间地产王</x:v>
      </x:c>
      <x:c r="D76" s="11" t="str">
        <x:v>被动</x:v>
      </x:c>
      <x:c r="E76" s="11" t="str">
        <x:v>产权交接</x:v>
      </x:c>
      <x:c r="F76" s="11" t="str">
        <x:v>CORPSE_CONSUME：6米内正式友军消耗尸骸</x:v>
      </x:c>
      <x:c r="G76" s="11" t="str">
        <x:v>6米内护盾最低3名正式友军</x:v>
      </x:c>
      <x:c r="H76" s="11" t="str">
        <x:v>各获得80%攻击力BONE_ARMOR持续5秒；每目标本技能最多1份。</x:v>
      </x:c>
      <x:c r="I76" s="13" t="n">
        <x:v>0.8</x:v>
      </x:c>
      <x:c r="J76" s="13" t="n">
        <x:v>3</x:v>
      </x:c>
      <x:c r="K76" s="13" t="n">
        <x:v>3</x:v>
      </x:c>
      <x:c r="L76" s="11" t="str">
        <x:v>遵循公共事件表E00；局部限制见效果</x:v>
      </x:c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769f95add18f4789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1.110000610351562" hidden="0" customWidth="1"/>
    <x:col min="2" max="2" width="16.110000610351562" hidden="0" customWidth="1"/>
    <x:col min="3" max="3" width="10" hidden="0" customWidth="1"/>
    <x:col min="4" max="4" width="7.21999979019165" hidden="0" customWidth="1"/>
    <x:col min="5" max="5" width="19.440000534057617" hidden="0" customWidth="1"/>
    <x:col min="6" max="6" width="45.560001373291016" hidden="0" customWidth="1"/>
    <x:col min="7" max="7" width="36.66999816894531" hidden="0" customWidth="1"/>
    <x:col min="8" max="8" width="33.3300018310546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30" customHeight="1">
      <x:c r="A2" s="5" t="str">
        <x:v>训练4级互斥专精</x:v>
      </x:c>
      <x:c r="B2" s="4"/>
      <x:c r="C2" s="4"/>
      <x:c r="D2" s="4"/>
      <x:c r="E2" s="4"/>
      <x:c r="F2" s="4"/>
      <x:c r="G2" s="4"/>
      <x:c r="H2" s="4"/>
    </x:row>
    <x:row r="3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专精ID</x:v>
      </x:c>
      <x:c r="B4" s="10" t="str">
        <x:v>兵种ID</x:v>
      </x:c>
      <x:c r="C4" s="10" t="str">
        <x:v>解锁等级</x:v>
      </x:c>
      <x:c r="D4" s="10" t="str">
        <x:v>选项</x:v>
      </x:c>
      <x:c r="E4" s="10" t="str">
        <x:v>名称</x:v>
      </x:c>
      <x:c r="F4" s="10" t="str">
        <x:v>效果</x:v>
      </x:c>
      <x:c r="G4" s="10" t="str">
        <x:v>机制变化</x:v>
      </x:c>
      <x:c r="H4" s="10" t="str">
        <x:v>取舍</x:v>
      </x:c>
    </x:row>
    <x:row r="5" ht="42" customHeight="1">
      <x:c r="A5" s="3" t="str">
        <x:v>SP_SK_1_A</x:v>
      </x:c>
      <x:c r="B5" s="3" t="str">
        <x:v>U_SK_1</x:v>
      </x:c>
      <x:c r="C5" s="12" t="n">
        <x:v>4</x:v>
      </x:c>
      <x:c r="D5" s="3" t="str">
        <x:v>A</x:v>
      </x:c>
      <x:c r="E5" s="3" t="str">
        <x:v>代班骨盾</x:v>
      </x:c>
      <x:c r="F5" s="3" t="str">
        <x:v>主技护盾改给2米内生命比例最低的正式友军；自己不再获得该护盾。</x:v>
      </x:c>
      <x:c r="G5" s="3" t="str">
        <x:v>自保转为近邻保护</x:v>
      </x:c>
      <x:c r="H5" s="3" t="str">
        <x:v>自身失去主技护盾</x:v>
      </x:c>
    </x:row>
    <x:row r="6" ht="27" customHeight="1">
      <x:c r="A6" s="11" t="str">
        <x:v>SP_SK_1_B</x:v>
      </x:c>
      <x:c r="B6" s="11" t="str">
        <x:v>U_SK_1</x:v>
      </x:c>
      <x:c r="C6" s="13" t="n">
        <x:v>4</x:v>
      </x:c>
      <x:c r="D6" s="11" t="str">
        <x:v>B</x:v>
      </x:c>
      <x:c r="E6" s="11" t="str">
        <x:v>自费骨刺</x:v>
      </x:c>
      <x:c r="F6" s="11" t="str">
        <x:v>被动伤害提高为110%攻击力；主技护盾比例降至8%。</x:v>
      </x:c>
      <x:c r="G6" s="11" t="str">
        <x:v>提高破盾输出</x:v>
      </x:c>
      <x:c r="H6" s="11" t="str">
        <x:v>降低自保</x:v>
      </x:c>
    </x:row>
    <x:row r="7" ht="42" customHeight="1">
      <x:c r="A7" s="3" t="str">
        <x:v>SP_SK_2A_A</x:v>
      </x:c>
      <x:c r="B7" s="3" t="str">
        <x:v>U_SK_2A</x:v>
      </x:c>
      <x:c r="C7" s="12" t="n">
        <x:v>4</x:v>
      </x:c>
      <x:c r="D7" s="3" t="str">
        <x:v>A</x:v>
      </x:c>
      <x:c r="E7" s="3" t="str">
        <x:v>集体投诉</x:v>
      </x:c>
      <x:c r="F7" s="3" t="str">
        <x:v>主技嘲讽目标上限增加至4，持续仍2秒；主技护盾降至12%最大生命。</x:v>
      </x:c>
      <x:c r="G7" s="3" t="str">
        <x:v>扩大仇恨覆盖</x:v>
      </x:c>
      <x:c r="H7" s="3" t="str">
        <x:v>单体承伤余量下降</x:v>
      </x:c>
    </x:row>
    <x:row r="8" ht="27" customHeight="1">
      <x:c r="A8" s="11" t="str">
        <x:v>SP_SK_2A_B</x:v>
      </x:c>
      <x:c r="B8" s="11" t="str">
        <x:v>U_SK_2A</x:v>
      </x:c>
      <x:c r="C8" s="13" t="n">
        <x:v>4</x:v>
      </x:c>
      <x:c r="D8" s="11" t="str">
        <x:v>B</x:v>
      </x:c>
      <x:c r="E8" s="11" t="str">
        <x:v>独家保险</x:v>
      </x:c>
      <x:c r="F8" s="11" t="str">
        <x:v>主技只嘲讽1名敌人，但护盾升为26%最大生命。</x:v>
      </x:c>
      <x:c r="G8" s="11" t="str">
        <x:v>强化单目标承伤</x:v>
      </x:c>
      <x:c r="H8" s="11" t="str">
        <x:v>失去群体牵制</x:v>
      </x:c>
    </x:row>
    <x:row r="9" ht="42" customHeight="1">
      <x:c r="A9" s="3" t="str">
        <x:v>SP_SK_2B_A</x:v>
      </x:c>
      <x:c r="B9" s="3" t="str">
        <x:v>U_SK_2B</x:v>
      </x:c>
      <x:c r="C9" s="12" t="n">
        <x:v>4</x:v>
      </x:c>
      <x:c r="D9" s="3" t="str">
        <x:v>A</x:v>
      </x:c>
      <x:c r="E9" s="3" t="str">
        <x:v>累进税制</x:v>
      </x:c>
      <x:c r="F9" s="3" t="str">
        <x:v>主技EXPOSED本技能层数上限增至5，附加伤害降为50%攻击力。</x:v>
      </x:c>
      <x:c r="G9" s="3" t="str">
        <x:v>持续破甲</x:v>
      </x:c>
      <x:c r="H9" s="3" t="str">
        <x:v>直接爆发降低</x:v>
      </x:c>
    </x:row>
    <x:row r="10" ht="27" customHeight="1">
      <x:c r="A10" s="11" t="str">
        <x:v>SP_SK_2B_B</x:v>
      </x:c>
      <x:c r="B10" s="11" t="str">
        <x:v>U_SK_2B</x:v>
      </x:c>
      <x:c r="C10" s="13" t="n">
        <x:v>4</x:v>
      </x:c>
      <x:c r="D10" s="11" t="str">
        <x:v>B</x:v>
      </x:c>
      <x:c r="E10" s="11" t="str">
        <x:v>退税窗口</x:v>
      </x:c>
      <x:c r="F10" s="11" t="str">
        <x:v>被动护盾提高为110%攻击力，冷却增至4秒。</x:v>
      </x:c>
      <x:c r="G10" s="11" t="str">
        <x:v>低频大护盾</x:v>
      </x:c>
      <x:c r="H10" s="11" t="str">
        <x:v>保护触发频率下降</x:v>
      </x:c>
    </x:row>
    <x:row r="11" ht="27" customHeight="1">
      <x:c r="A11" s="3" t="str">
        <x:v>SP_SK_3A_A</x:v>
      </x:c>
      <x:c r="B11" s="3" t="str">
        <x:v>U_SK_3A</x:v>
      </x:c>
      <x:c r="C11" s="12" t="n">
        <x:v>4</x:v>
      </x:c>
      <x:c r="D11" s="3" t="str">
        <x:v>A</x:v>
      </x:c>
      <x:c r="E11" s="3" t="str">
        <x:v>集中稽核</x:v>
      </x:c>
      <x:c r="F11" s="3" t="str">
        <x:v>主技只保护1名正式友军，护盾提高为260%攻击力。</x:v>
      </x:c>
      <x:c r="G11" s="3" t="str">
        <x:v>集中保核心</x:v>
      </x:c>
      <x:c r="H11" s="3" t="str">
        <x:v>失去群体覆盖</x:v>
      </x:c>
    </x:row>
    <x:row r="12" ht="42" customHeight="1">
      <x:c r="A12" s="11" t="str">
        <x:v>SP_SK_3A_B</x:v>
      </x:c>
      <x:c r="B12" s="11" t="str">
        <x:v>U_SK_3A</x:v>
      </x:c>
      <x:c r="C12" s="13" t="n">
        <x:v>4</x:v>
      </x:c>
      <x:c r="D12" s="11" t="str">
        <x:v>B</x:v>
      </x:c>
      <x:c r="E12" s="11" t="str">
        <x:v>连带追责</x:v>
      </x:c>
      <x:c r="F12" s="11" t="str">
        <x:v>被动伤害改为对目标周围2米最多3敌各60%攻击力；冷却增至2.5秒。</x:v>
      </x:c>
      <x:c r="G12" s="11" t="str">
        <x:v>破盾范围输出</x:v>
      </x:c>
      <x:c r="H12" s="11" t="str">
        <x:v>单点输出与频率下降</x:v>
      </x:c>
    </x:row>
    <x:row r="13" ht="42" customHeight="1">
      <x:c r="A13" s="3" t="str">
        <x:v>SP_SK_3B_A</x:v>
      </x:c>
      <x:c r="B13" s="3" t="str">
        <x:v>U_SK_3B</x:v>
      </x:c>
      <x:c r="C13" s="12" t="n">
        <x:v>4</x:v>
      </x:c>
      <x:c r="D13" s="3" t="str">
        <x:v>A</x:v>
      </x:c>
      <x:c r="E13" s="3" t="str">
        <x:v>无差别执行</x:v>
      </x:c>
      <x:c r="F13" s="3" t="str">
        <x:v>主技无需EXPOSED即可追加真实伤害，但物理倍率降至120%。</x:v>
      </x:c>
      <x:c r="G13" s="3" t="str">
        <x:v>减少前置条件</x:v>
      </x:c>
      <x:c r="H13" s="3" t="str">
        <x:v>爆发上限降低</x:v>
      </x:c>
    </x:row>
    <x:row r="14" ht="27" customHeight="1">
      <x:c r="A14" s="11" t="str">
        <x:v>SP_SK_3B_B</x:v>
      </x:c>
      <x:c r="B14" s="11" t="str">
        <x:v>U_SK_3B</x:v>
      </x:c>
      <x:c r="C14" s="13" t="n">
        <x:v>4</x:v>
      </x:c>
      <x:c r="D14" s="11" t="str">
        <x:v>B</x:v>
      </x:c>
      <x:c r="E14" s="11" t="str">
        <x:v>集体查封</x:v>
      </x:c>
      <x:c r="F14" s="11" t="str">
        <x:v>被动扩为自身加3名友军，每份护盾降为55%攻击力。</x:v>
      </x:c>
      <x:c r="G14" s="11" t="str">
        <x:v>分散保护</x:v>
      </x:c>
      <x:c r="H14" s="11" t="str">
        <x:v>核心护盾变薄</x:v>
      </x:c>
    </x:row>
    <x:row r="15" ht="42" customHeight="1">
      <x:c r="A15" s="3" t="str">
        <x:v>SP_SK_4_A</x:v>
      </x:c>
      <x:c r="B15" s="3" t="str">
        <x:v>U_SK_4</x:v>
      </x:c>
      <x:c r="C15" s="12" t="n">
        <x:v>4</x:v>
      </x:c>
      <x:c r="D15" s="3" t="str">
        <x:v>A</x:v>
      </x:c>
      <x:c r="E15" s="3" t="str">
        <x:v>全民保险</x:v>
      </x:c>
      <x:c r="F15" s="3" t="str">
        <x:v>主技目标上限增至6，护盾比例降为12%；被动伤害降为70%。</x:v>
      </x:c>
      <x:c r="G15" s="3" t="str">
        <x:v>全队防护用途</x:v>
      </x:c>
      <x:c r="H15" s="3" t="str">
        <x:v>牺牲进攻收益</x:v>
      </x:c>
    </x:row>
    <x:row r="16" ht="27" customHeight="1">
      <x:c r="A16" s="11" t="str">
        <x:v>SP_SK_4_B</x:v>
      </x:c>
      <x:c r="B16" s="11" t="str">
        <x:v>U_SK_4</x:v>
      </x:c>
      <x:c r="C16" s="13" t="n">
        <x:v>4</x:v>
      </x:c>
      <x:c r="D16" s="11" t="str">
        <x:v>B</x:v>
      </x:c>
      <x:c r="E16" s="11" t="str">
        <x:v>资产清算</x:v>
      </x:c>
      <x:c r="F16" s="11" t="str">
        <x:v>被动物理伤害升至170%；主技目标上限降至2。</x:v>
      </x:c>
      <x:c r="G16" s="11" t="str">
        <x:v>破盾进攻用途</x:v>
      </x:c>
      <x:c r="H16" s="11" t="str">
        <x:v>覆盖减少</x:v>
      </x:c>
    </x:row>
    <x:row r="17" ht="42" customHeight="1">
      <x:c r="A17" s="3" t="str">
        <x:v>SP_ZM_1_A</x:v>
      </x:c>
      <x:c r="B17" s="3" t="str">
        <x:v>U_ZM_1</x:v>
      </x:c>
      <x:c r="C17" s="12" t="n">
        <x:v>4</x:v>
      </x:c>
      <x:c r="D17" s="3" t="str">
        <x:v>A</x:v>
      </x:c>
      <x:c r="E17" s="3" t="str">
        <x:v>续杯毒气</x:v>
      </x:c>
      <x:c r="F17" s="3" t="str">
        <x:v>主技每次改施加2层POISON，持续降为4秒，本技能层数上限仍3。</x:v>
      </x:c>
      <x:c r="G17" s="3" t="str">
        <x:v>更快积毒</x:v>
      </x:c>
      <x:c r="H17" s="3" t="str">
        <x:v>持续时间缩短</x:v>
      </x:c>
    </x:row>
    <x:row r="18" ht="42" customHeight="1">
      <x:c r="A18" s="11" t="str">
        <x:v>SP_ZM_1_B</x:v>
      </x:c>
      <x:c r="B18" s="11" t="str">
        <x:v>U_ZM_1</x:v>
      </x:c>
      <x:c r="C18" s="13" t="n">
        <x:v>4</x:v>
      </x:c>
      <x:c r="D18" s="11" t="str">
        <x:v>B</x:v>
      </x:c>
      <x:c r="E18" s="11" t="str">
        <x:v>保养优先</x:v>
      </x:c>
      <x:c r="F18" s="11" t="str">
        <x:v>被动转化比例升为60%，护盾上限升为15%最大生命；主技改为每第3次普攻触发。</x:v>
      </x:c>
      <x:c r="G18" s="11" t="str">
        <x:v>强化自保</x:v>
      </x:c>
      <x:c r="H18" s="11" t="str">
        <x:v>上毒变慢</x:v>
      </x:c>
    </x:row>
    <x:row r="19" ht="27" customHeight="1">
      <x:c r="A19" s="3" t="str">
        <x:v>SP_ZM_2A_A</x:v>
      </x:c>
      <x:c r="B19" s="3" t="str">
        <x:v>U_ZM_2A</x:v>
      </x:c>
      <x:c r="C19" s="12" t="n">
        <x:v>4</x:v>
      </x:c>
      <x:c r="D19" s="3" t="str">
        <x:v>A</x:v>
      </x:c>
      <x:c r="E19" s="3" t="str">
        <x:v>定点通知</x:v>
      </x:c>
      <x:c r="F19" s="3" t="str">
        <x:v>主技只作用于普攻目标，施加4层POISON持续7秒。</x:v>
      </x:c>
      <x:c r="G19" s="3" t="str">
        <x:v>转单体毒</x:v>
      </x:c>
      <x:c r="H19" s="3" t="str">
        <x:v>失去主技群体覆盖</x:v>
      </x:c>
    </x:row>
    <x:row r="20" ht="27" customHeight="1">
      <x:c r="A20" s="11" t="str">
        <x:v>SP_ZM_2A_B</x:v>
      </x:c>
      <x:c r="B20" s="11" t="str">
        <x:v>U_ZM_2A</x:v>
      </x:c>
      <x:c r="C20" s="13" t="n">
        <x:v>4</x:v>
      </x:c>
      <x:c r="D20" s="11" t="str">
        <x:v>B</x:v>
      </x:c>
      <x:c r="E20" s="11" t="str">
        <x:v>全民接收</x:v>
      </x:c>
      <x:c r="F20" s="11" t="str">
        <x:v>被动传播目标增至2；传播冷却增至3秒。</x:v>
      </x:c>
      <x:c r="G20" s="11" t="str">
        <x:v>扩大覆盖</x:v>
      </x:c>
      <x:c r="H20" s="11" t="str">
        <x:v>传播频率下降</x:v>
      </x:c>
    </x:row>
    <x:row r="21" ht="27" customHeight="1">
      <x:c r="A21" s="3" t="str">
        <x:v>SP_ZM_2B_A</x:v>
      </x:c>
      <x:c r="B21" s="3" t="str">
        <x:v>U_ZM_2B</x:v>
      </x:c>
      <x:c r="C21" s="12" t="n">
        <x:v>4</x:v>
      </x:c>
      <x:c r="D21" s="3" t="str">
        <x:v>A</x:v>
      </x:c>
      <x:c r="E21" s="3" t="str">
        <x:v>重症专窗</x:v>
      </x:c>
      <x:c r="F21" s="3" t="str">
        <x:v>主技只治疗1名友军，治疗倍率提高为240%。</x:v>
      </x:c>
      <x:c r="G21" s="3" t="str">
        <x:v>集中救援</x:v>
      </x:c>
      <x:c r="H21" s="3" t="str">
        <x:v>失去双目标治疗</x:v>
      </x:c>
    </x:row>
    <x:row r="22" ht="42" customHeight="1">
      <x:c r="A22" s="11" t="str">
        <x:v>SP_ZM_2B_B</x:v>
      </x:c>
      <x:c r="B22" s="11" t="str">
        <x:v>U_ZM_2B</x:v>
      </x:c>
      <x:c r="C22" s="13" t="n">
        <x:v>4</x:v>
      </x:c>
      <x:c r="D22" s="11" t="str">
        <x:v>B</x:v>
      </x:c>
      <x:c r="E22" s="11" t="str">
        <x:v>传染式关怀</x:v>
      </x:c>
      <x:c r="F22" s="11" t="str">
        <x:v>被动改给目标周围2米最多3敌各1层毒；主技治疗倍率降为75%。</x:v>
      </x:c>
      <x:c r="G22" s="11" t="str">
        <x:v>提高毒覆盖</x:v>
      </x:c>
      <x:c r="H22" s="11" t="str">
        <x:v>治疗变弱</x:v>
      </x:c>
    </x:row>
    <x:row r="23" ht="27" customHeight="1">
      <x:c r="A23" s="3" t="str">
        <x:v>SP_ZM_3A_A</x:v>
      </x:c>
      <x:c r="B23" s="3" t="str">
        <x:v>U_ZM_3A</x:v>
      </x:c>
      <x:c r="C23" s="12" t="n">
        <x:v>4</x:v>
      </x:c>
      <x:c r="D23" s="3" t="str">
        <x:v>A</x:v>
      </x:c>
      <x:c r="E23" s="3" t="str">
        <x:v>固定发言</x:v>
      </x:c>
      <x:c r="F23" s="3" t="str">
        <x:v>主技范围增至4米、目标上限6；自身移动速度降低25%。</x:v>
      </x:c>
      <x:c r="G23" s="3" t="str">
        <x:v>扩大阵地控制</x:v>
      </x:c>
      <x:c r="H23" s="3" t="str">
        <x:v>回场更慢</x:v>
      </x:c>
    </x:row>
    <x:row r="24" ht="27" customHeight="1">
      <x:c r="A24" s="11" t="str">
        <x:v>SP_ZM_3A_B</x:v>
      </x:c>
      <x:c r="B24" s="11" t="str">
        <x:v>U_ZM_3A</x:v>
      </x:c>
      <x:c r="C24" s="13" t="n">
        <x:v>4</x:v>
      </x:c>
      <x:c r="D24" s="11" t="str">
        <x:v>B</x:v>
      </x:c>
      <x:c r="E24" s="11" t="str">
        <x:v>小范围沟通</x:v>
      </x:c>
      <x:c r="F24" s="11" t="str">
        <x:v>主技目标上限降至2，每目标施加4层POISON，持续仍6秒。</x:v>
      </x:c>
      <x:c r="G24" s="11" t="str">
        <x:v>集中积毒</x:v>
      </x:c>
      <x:c r="H24" s="11" t="str">
        <x:v>覆盖减少</x:v>
      </x:c>
    </x:row>
    <x:row r="25" ht="27" customHeight="1">
      <x:c r="A25" s="3" t="str">
        <x:v>SP_ZM_3B_A</x:v>
      </x:c>
      <x:c r="B25" s="3" t="str">
        <x:v>U_ZM_3B</x:v>
      </x:c>
      <x:c r="C25" s="12" t="n">
        <x:v>4</x:v>
      </x:c>
      <x:c r="D25" s="3" t="str">
        <x:v>A</x:v>
      </x:c>
      <x:c r="E25" s="3" t="str">
        <x:v>保留尾款</x:v>
      </x:c>
      <x:c r="F25" s="3" t="str">
        <x:v>主技最多消耗1层POISON，每层追加倍率改为80%。</x:v>
      </x:c>
      <x:c r="G25" s="3" t="str">
        <x:v>保留持续毒</x:v>
      </x:c>
      <x:c r="H25" s="3" t="str">
        <x:v>爆发总上限降低</x:v>
      </x:c>
    </x:row>
    <x:row r="26" ht="27" customHeight="1">
      <x:c r="A26" s="11" t="str">
        <x:v>SP_ZM_3B_B</x:v>
      </x:c>
      <x:c r="B26" s="11" t="str">
        <x:v>U_ZM_3B</x:v>
      </x:c>
      <x:c r="C26" s="13" t="n">
        <x:v>4</x:v>
      </x:c>
      <x:c r="D26" s="11" t="str">
        <x:v>B</x:v>
      </x:c>
      <x:c r="E26" s="11" t="str">
        <x:v>集中清算</x:v>
      </x:c>
      <x:c r="F26" s="11" t="str">
        <x:v>主技最多消耗5层POISON，冷却增至5秒。</x:v>
      </x:c>
      <x:c r="G26" s="11" t="str">
        <x:v>扩大兑现峰值</x:v>
      </x:c>
      <x:c r="H26" s="11" t="str">
        <x:v>争抢更多毒层且启动慢</x:v>
      </x:c>
    </x:row>
    <x:row r="27" ht="27" customHeight="1">
      <x:c r="A27" s="3" t="str">
        <x:v>SP_ZM_4_A</x:v>
      </x:c>
      <x:c r="B27" s="3" t="str">
        <x:v>U_ZM_4</x:v>
      </x:c>
      <x:c r="C27" s="12" t="n">
        <x:v>4</x:v>
      </x:c>
      <x:c r="D27" s="3" t="str">
        <x:v>A</x:v>
      </x:c>
      <x:c r="E27" s="3" t="str">
        <x:v>安宁病房</x:v>
      </x:c>
      <x:c r="F27" s="3" t="str">
        <x:v>主技治疗提高为160%攻击力；主技毒层降至1层。</x:v>
      </x:c>
      <x:c r="G27" s="3" t="str">
        <x:v>偏重续航用途</x:v>
      </x:c>
      <x:c r="H27" s="3" t="str">
        <x:v>毒伤启动慢</x:v>
      </x:c>
    </x:row>
    <x:row r="28" ht="27" customHeight="1">
      <x:c r="A28" s="11" t="str">
        <x:v>SP_ZM_4_B</x:v>
      </x:c>
      <x:c r="B28" s="11" t="str">
        <x:v>U_ZM_4</x:v>
      </x:c>
      <x:c r="C28" s="13" t="n">
        <x:v>4</x:v>
      </x:c>
      <x:c r="D28" s="11" t="str">
        <x:v>B</x:v>
      </x:c>
      <x:c r="E28" s="11" t="str">
        <x:v>开放病房</x:v>
      </x:c>
      <x:c r="F28" s="11" t="str">
        <x:v>主技敌人上限增至5、每敌3层毒；友军治疗上限降至1名。</x:v>
      </x:c>
      <x:c r="G28" s="11" t="str">
        <x:v>偏重瘟疫用途</x:v>
      </x:c>
      <x:c r="H28" s="11" t="str">
        <x:v>群体续航下降</x:v>
      </x:c>
    </x:row>
    <x:row r="29" ht="42" customHeight="1">
      <x:c r="A29" s="3" t="str">
        <x:v>SP_HR_1_A</x:v>
      </x:c>
      <x:c r="B29" s="3" t="str">
        <x:v>U_HR_1</x:v>
      </x:c>
      <x:c r="C29" s="12" t="n">
        <x:v>4</x:v>
      </x:c>
      <x:c r="D29" s="3" t="str">
        <x:v>A</x:v>
      </x:c>
      <x:c r="E29" s="3" t="str">
        <x:v>加急件</x:v>
      </x:c>
      <x:c r="F29" s="3" t="str">
        <x:v>主技冷却降为3秒、每第2次普攻触发；路径伤害降为55%攻击力。</x:v>
      </x:c>
      <x:c r="G29" s="3" t="str">
        <x:v>更频繁位移</x:v>
      </x:c>
      <x:c r="H29" s="3" t="str">
        <x:v>单次伤害降低</x:v>
      </x:c>
    </x:row>
    <x:row r="30" ht="27" customHeight="1">
      <x:c r="A30" s="11" t="str">
        <x:v>SP_HR_1_B</x:v>
      </x:c>
      <x:c r="B30" s="11" t="str">
        <x:v>U_HR_1</x:v>
      </x:c>
      <x:c r="C30" s="13" t="n">
        <x:v>4</x:v>
      </x:c>
      <x:c r="D30" s="11" t="str">
        <x:v>B</x:v>
      </x:c>
      <x:c r="E30" s="11" t="str">
        <x:v>重货专送</x:v>
      </x:c>
      <x:c r="F30" s="11" t="str">
        <x:v>主技路径伤害升为130%攻击力，位移上限降至4米。</x:v>
      </x:c>
      <x:c r="G30" s="11" t="str">
        <x:v>冲刺伤害提高</x:v>
      </x:c>
      <x:c r="H30" s="11" t="str">
        <x:v>绕侧距离减少</x:v>
      </x:c>
    </x:row>
    <x:row r="31" ht="27" customHeight="1">
      <x:c r="A31" s="3" t="str">
        <x:v>SP_HR_2A_A</x:v>
      </x:c>
      <x:c r="B31" s="3" t="str">
        <x:v>U_HR_2A</x:v>
      </x:c>
      <x:c r="C31" s="12" t="n">
        <x:v>4</x:v>
      </x:c>
      <x:c r="D31" s="3" t="str">
        <x:v>A</x:v>
      </x:c>
      <x:c r="E31" s="3" t="str">
        <x:v>单件派送</x:v>
      </x:c>
      <x:c r="F31" s="3" t="str">
        <x:v>主技路径目标上限降至1，倍率升至240%。</x:v>
      </x:c>
      <x:c r="G31" s="3" t="str">
        <x:v>单体突击</x:v>
      </x:c>
      <x:c r="H31" s="3" t="str">
        <x:v>失去穿阵清群</x:v>
      </x:c>
    </x:row>
    <x:row r="32" ht="27" customHeight="1">
      <x:c r="A32" s="11" t="str">
        <x:v>SP_HR_2A_B</x:v>
      </x:c>
      <x:c r="B32" s="11" t="str">
        <x:v>U_HR_2A</x:v>
      </x:c>
      <x:c r="C32" s="13" t="n">
        <x:v>4</x:v>
      </x:c>
      <x:c r="D32" s="11" t="str">
        <x:v>B</x:v>
      </x:c>
      <x:c r="E32" s="11" t="str">
        <x:v>沿街派送</x:v>
      </x:c>
      <x:c r="F32" s="11" t="str">
        <x:v>主技路径目标上限升至5，倍率降至85%。</x:v>
      </x:c>
      <x:c r="G32" s="11" t="str">
        <x:v>清理成排敌人</x:v>
      </x:c>
      <x:c r="H32" s="11" t="str">
        <x:v>单点爆发下降</x:v>
      </x:c>
    </x:row>
    <x:row r="33" ht="42" customHeight="1">
      <x:c r="A33" s="3" t="str">
        <x:v>SP_HR_2B_A</x:v>
      </x:c>
      <x:c r="B33" s="3" t="str">
        <x:v>U_HR_2B</x:v>
      </x:c>
      <x:c r="C33" s="12" t="n">
        <x:v>4</x:v>
      </x:c>
      <x:c r="D33" s="3" t="str">
        <x:v>A</x:v>
      </x:c>
      <x:c r="E33" s="3" t="str">
        <x:v>保温箱</x:v>
      </x:c>
      <x:c r="F33" s="3" t="str">
        <x:v>主技治疗降为90%攻击力，并给予目标70%攻击力BONE_ARMOR持续4秒。</x:v>
      </x:c>
      <x:c r="G33" s="3" t="str">
        <x:v>治疗兼护盾</x:v>
      </x:c>
      <x:c r="H33" s="3" t="str">
        <x:v>即时回血降低</x:v>
      </x:c>
    </x:row>
    <x:row r="34" ht="42" customHeight="1">
      <x:c r="A34" s="11" t="str">
        <x:v>SP_HR_2B_B</x:v>
      </x:c>
      <x:c r="B34" s="11" t="str">
        <x:v>U_HR_2B</x:v>
      </x:c>
      <x:c r="C34" s="13" t="n">
        <x:v>4</x:v>
      </x:c>
      <x:c r="D34" s="11" t="str">
        <x:v>B</x:v>
      </x:c>
      <x:c r="E34" s="11" t="str">
        <x:v>两站联送</x:v>
      </x:c>
      <x:c r="F34" s="11" t="str">
        <x:v>抵达后额外治疗2米内另一伤员，两个目标各恢复80%攻击力。</x:v>
      </x:c>
      <x:c r="G34" s="11" t="str">
        <x:v>双目标补给</x:v>
      </x:c>
      <x:c r="H34" s="11" t="str">
        <x:v>单体急救下降</x:v>
      </x:c>
    </x:row>
    <x:row r="35" ht="27" customHeight="1">
      <x:c r="A35" s="3" t="str">
        <x:v>SP_HR_3A_A</x:v>
      </x:c>
      <x:c r="B35" s="3" t="str">
        <x:v>U_HR_3A</x:v>
      </x:c>
      <x:c r="C35" s="12" t="n">
        <x:v>4</x:v>
      </x:c>
      <x:c r="D35" s="3" t="str">
        <x:v>A</x:v>
      </x:c>
      <x:c r="E35" s="3" t="str">
        <x:v>原地取证</x:v>
      </x:c>
      <x:c r="F35" s="3" t="str">
        <x:v>主技取消推开，路径伤害提高为150%攻击力。</x:v>
      </x:c>
      <x:c r="G35" s="3" t="str">
        <x:v>维持敌人位置</x:v>
      </x:c>
      <x:c r="H35" s="3" t="str">
        <x:v>失去位移控制</x:v>
      </x:c>
    </x:row>
    <x:row r="36" ht="27" customHeight="1">
      <x:c r="A36" s="11" t="str">
        <x:v>SP_HR_3A_B</x:v>
      </x:c>
      <x:c r="B36" s="11" t="str">
        <x:v>U_HR_3A</x:v>
      </x:c>
      <x:c r="C36" s="13" t="n">
        <x:v>4</x:v>
      </x:c>
      <x:c r="D36" s="11" t="str">
        <x:v>B</x:v>
      </x:c>
      <x:c r="E36" s="11" t="str">
        <x:v>群体追尾</x:v>
      </x:c>
      <x:c r="F36" s="11" t="str">
        <x:v>主技路径目标上限升至6，但伤害降为80%攻击力。</x:v>
      </x:c>
      <x:c r="G36" s="11" t="str">
        <x:v>扩大穿阵范围</x:v>
      </x:c>
      <x:c r="H36" s="11" t="str">
        <x:v>单次输出下降</x:v>
      </x:c>
    </x:row>
    <x:row r="37" ht="27" customHeight="1">
      <x:c r="A37" s="3" t="str">
        <x:v>SP_HR_3B_A</x:v>
      </x:c>
      <x:c r="B37" s="3" t="str">
        <x:v>U_HR_3B</x:v>
      </x:c>
      <x:c r="C37" s="12" t="n">
        <x:v>4</x:v>
      </x:c>
      <x:c r="D37" s="3" t="str">
        <x:v>A</x:v>
      </x:c>
      <x:c r="E37" s="3" t="str">
        <x:v>直达快线</x:v>
      </x:c>
      <x:c r="F37" s="3" t="str">
        <x:v>主技只治疗被选友军，治疗倍率升至260%。</x:v>
      </x:c>
      <x:c r="G37" s="3" t="str">
        <x:v>核心远程急救</x:v>
      </x:c>
      <x:c r="H37" s="3" t="str">
        <x:v>失去群疗</x:v>
      </x:c>
    </x:row>
    <x:row r="38" ht="27" customHeight="1">
      <x:c r="A38" s="11" t="str">
        <x:v>SP_HR_3B_B</x:v>
      </x:c>
      <x:c r="B38" s="11" t="str">
        <x:v>U_HR_3B</x:v>
      </x:c>
      <x:c r="C38" s="13" t="n">
        <x:v>4</x:v>
      </x:c>
      <x:c r="D38" s="11" t="str">
        <x:v>B</x:v>
      </x:c>
      <x:c r="E38" s="11" t="str">
        <x:v>末班接驳</x:v>
      </x:c>
      <x:c r="F38" s="11" t="str">
        <x:v>被动目标上限升至6，持续降至2秒；主技冷却增至6秒。</x:v>
      </x:c>
      <x:c r="G38" s="11" t="str">
        <x:v>短时全队加速</x:v>
      </x:c>
      <x:c r="H38" s="11" t="str">
        <x:v>群疗频率降低</x:v>
      </x:c>
    </x:row>
    <x:row r="39" ht="27" customHeight="1">
      <x:c r="A39" s="3" t="str">
        <x:v>SP_HR_4_A</x:v>
      </x:c>
      <x:c r="B39" s="3" t="str">
        <x:v>U_HR_4</x:v>
      </x:c>
      <x:c r="C39" s="12" t="n">
        <x:v>4</x:v>
      </x:c>
      <x:c r="D39" s="3" t="str">
        <x:v>A</x:v>
      </x:c>
      <x:c r="E39" s="3" t="str">
        <x:v>收尸专线</x:v>
      </x:c>
      <x:c r="F39" s="3" t="str">
        <x:v>主技倍率升至200%，被动只作用于自身。</x:v>
      </x:c>
      <x:c r="G39" s="3" t="str">
        <x:v>突击用途</x:v>
      </x:c>
      <x:c r="H39" s="3" t="str">
        <x:v>失去队友补给</x:v>
      </x:c>
    </x:row>
    <x:row r="40" ht="42" customHeight="1">
      <x:c r="A40" s="11" t="str">
        <x:v>SP_HR_4_B</x:v>
      </x:c>
      <x:c r="B40" s="11" t="str">
        <x:v>U_HR_4</x:v>
      </x:c>
      <x:c r="C40" s="13" t="n">
        <x:v>4</x:v>
      </x:c>
      <x:c r="D40" s="11" t="str">
        <x:v>B</x:v>
      </x:c>
      <x:c r="E40" s="11" t="str">
        <x:v>互助班车</x:v>
      </x:c>
      <x:c r="F40" s="11" t="str">
        <x:v>主技倍率降至90%，被动目标上限增至5，治疗与护盾各提高至110%攻击力。</x:v>
      </x:c>
      <x:c r="G40" s="11" t="str">
        <x:v>移动支援用途</x:v>
      </x:c>
      <x:c r="H40" s="11" t="str">
        <x:v>冲锋输出降低</x:v>
      </x:c>
    </x:row>
    <x:row r="41" ht="42" customHeight="1">
      <x:c r="A41" s="3" t="str">
        <x:v>SP_HD_1_A</x:v>
      </x:c>
      <x:c r="B41" s="3" t="str">
        <x:v>U_HD_1</x:v>
      </x:c>
      <x:c r="C41" s="12" t="n">
        <x:v>4</x:v>
      </x:c>
      <x:c r="D41" s="3" t="str">
        <x:v>A</x:v>
      </x:c>
      <x:c r="E41" s="3" t="str">
        <x:v>熟练工</x:v>
      </x:c>
      <x:c r="F41" s="3" t="str">
        <x:v>主技改为3次35%攻击力物理伤害；被动治疗降为4%最大生命。</x:v>
      </x:c>
      <x:c r="G41" s="3" t="str">
        <x:v>增加技能命中次数</x:v>
      </x:c>
      <x:c r="H41" s="3" t="str">
        <x:v>回血减少且技能不计普攻</x:v>
      </x:c>
    </x:row>
    <x:row r="42" ht="27" customHeight="1">
      <x:c r="A42" s="11" t="str">
        <x:v>SP_HD_1_B</x:v>
      </x:c>
      <x:c r="B42" s="11" t="str">
        <x:v>U_HD_1</x:v>
      </x:c>
      <x:c r="C42" s="13" t="n">
        <x:v>4</x:v>
      </x:c>
      <x:c r="D42" s="11" t="str">
        <x:v>B</x:v>
      </x:c>
      <x:c r="E42" s="11" t="str">
        <x:v>工伤保险</x:v>
      </x:c>
      <x:c r="F42" s="11" t="str">
        <x:v>被动治疗提高至10%最大生命；主技触发改每第5次普攻。</x:v>
      </x:c>
      <x:c r="G42" s="11" t="str">
        <x:v>提高收割续航</x:v>
      </x:c>
      <x:c r="H42" s="11" t="str">
        <x:v>输出启动更慢</x:v>
      </x:c>
    </x:row>
    <x:row r="43" ht="42" customHeight="1">
      <x:c r="A43" s="3" t="str">
        <x:v>SP_HD_2A_A</x:v>
      </x:c>
      <x:c r="B43" s="3" t="str">
        <x:v>U_HD_2A</x:v>
      </x:c>
      <x:c r="C43" s="12" t="n">
        <x:v>4</x:v>
      </x:c>
      <x:c r="D43" s="3" t="str">
        <x:v>A</x:v>
      </x:c>
      <x:c r="E43" s="3" t="str">
        <x:v>人手充足</x:v>
      </x:c>
      <x:c r="F43" s="3" t="str">
        <x:v>主技每次召唤2只骨指，单施法者上限仍3；每只骨指HP降至22、ATK降至4。</x:v>
      </x:c>
      <x:c r="G43" s="3" t="str">
        <x:v>更快补充手群</x:v>
      </x:c>
      <x:c r="H43" s="3" t="str">
        <x:v>单体召唤质量降低</x:v>
      </x:c>
    </x:row>
    <x:row r="44" ht="27" customHeight="1">
      <x:c r="A44" s="11" t="str">
        <x:v>SP_HD_2A_B</x:v>
      </x:c>
      <x:c r="B44" s="11" t="str">
        <x:v>U_HD_2A</x:v>
      </x:c>
      <x:c r="C44" s="13" t="n">
        <x:v>4</x:v>
      </x:c>
      <x:c r="D44" s="11" t="str">
        <x:v>B</x:v>
      </x:c>
      <x:c r="E44" s="11" t="str">
        <x:v>资深员工</x:v>
      </x:c>
      <x:c r="F44" s="11" t="str">
        <x:v>主技骨指HP升至50、ATK升至8；单施法者上限降至2。</x:v>
      </x:c>
      <x:c r="G44" s="11" t="str">
        <x:v>强少数召唤</x:v>
      </x:c>
      <x:c r="H44" s="11" t="str">
        <x:v>事件数量下降</x:v>
      </x:c>
    </x:row>
    <x:row r="45" ht="27" customHeight="1">
      <x:c r="A45" s="3" t="str">
        <x:v>SP_HD_2B_A</x:v>
      </x:c>
      <x:c r="B45" s="3" t="str">
        <x:v>U_HD_2B</x:v>
      </x:c>
      <x:c r="C45" s="12" t="n">
        <x:v>4</x:v>
      </x:c>
      <x:c r="D45" s="3" t="str">
        <x:v>A</x:v>
      </x:c>
      <x:c r="E45" s="3" t="str">
        <x:v>防水接头</x:v>
      </x:c>
      <x:c r="F45" s="3" t="str">
        <x:v>主技WET持续提高为8秒；主技伤害降为50%攻击力。</x:v>
      </x:c>
      <x:c r="G45" s="3" t="str">
        <x:v>稳定湿润覆盖</x:v>
      </x:c>
      <x:c r="H45" s="3" t="str">
        <x:v>直接输出下降</x:v>
      </x:c>
    </x:row>
    <x:row r="46" ht="27" customHeight="1">
      <x:c r="A46" s="11" t="str">
        <x:v>SP_HD_2B_B</x:v>
      </x:c>
      <x:c r="B46" s="11" t="str">
        <x:v>U_HD_2B</x:v>
      </x:c>
      <x:c r="C46" s="13" t="n">
        <x:v>4</x:v>
      </x:c>
      <x:c r="D46" s="11" t="str">
        <x:v>B</x:v>
      </x:c>
      <x:c r="E46" s="11" t="str">
        <x:v>多口插排</x:v>
      </x:c>
      <x:c r="F46" s="11" t="str">
        <x:v>被动目标上限升至2，每目标伤害降为40%攻击力。</x:v>
      </x:c>
      <x:c r="G46" s="11" t="str">
        <x:v>扩大传导</x:v>
      </x:c>
      <x:c r="H46" s="11" t="str">
        <x:v>单点补伤下降</x:v>
      </x:c>
    </x:row>
    <x:row r="47" ht="27" customHeight="1">
      <x:c r="A47" s="3" t="str">
        <x:v>SP_HD_3A_A</x:v>
      </x:c>
      <x:c r="B47" s="3" t="str">
        <x:v>U_HD_3A</x:v>
      </x:c>
      <x:c r="C47" s="12" t="n">
        <x:v>4</x:v>
      </x:c>
      <x:c r="D47" s="3" t="str">
        <x:v>A</x:v>
      </x:c>
      <x:c r="E47" s="3" t="str">
        <x:v>减少手续</x:v>
      </x:c>
      <x:c r="F47" s="3" t="str">
        <x:v>主技不再消耗尸骸，固定召唤1只；主技冷却降为2.5秒。</x:v>
      </x:c>
      <x:c r="G47" s="3" t="str">
        <x:v>去掉尸骸需求</x:v>
      </x:c>
      <x:c r="H47" s="3" t="str">
        <x:v>失去双召唤爆发</x:v>
      </x:c>
    </x:row>
    <x:row r="48" ht="42" customHeight="1">
      <x:c r="A48" s="11" t="str">
        <x:v>SP_HD_3A_B</x:v>
      </x:c>
      <x:c r="B48" s="11" t="str">
        <x:v>U_HD_3A</x:v>
      </x:c>
      <x:c r="C48" s="13" t="n">
        <x:v>4</x:v>
      </x:c>
      <x:c r="D48" s="11" t="str">
        <x:v>B</x:v>
      </x:c>
      <x:c r="E48" s="11" t="str">
        <x:v>精简编制</x:v>
      </x:c>
      <x:c r="F48" s="11" t="str">
        <x:v>临时骨指HP升至65、ATK升至11；单施法者骨指上限降为2。</x:v>
      </x:c>
      <x:c r="G48" s="11" t="str">
        <x:v>精锐手群</x:v>
      </x:c>
      <x:c r="H48" s="11" t="str">
        <x:v>触发数量减少</x:v>
      </x:c>
    </x:row>
    <x:row r="49" ht="27" customHeight="1">
      <x:c r="A49" s="3" t="str">
        <x:v>SP_HD_3B_A</x:v>
      </x:c>
      <x:c r="B49" s="3" t="str">
        <x:v>U_HD_3B</x:v>
      </x:c>
      <x:c r="C49" s="12" t="n">
        <x:v>4</x:v>
      </x:c>
      <x:c r="D49" s="3" t="str">
        <x:v>A</x:v>
      </x:c>
      <x:c r="E49" s="3" t="str">
        <x:v>提前结款</x:v>
      </x:c>
      <x:c r="F49" s="3" t="str">
        <x:v>主技强化阈值由30%生命提高到45%，强化倍率降为145%。</x:v>
      </x:c>
      <x:c r="G49" s="3" t="str">
        <x:v>扩大收割窗口</x:v>
      </x:c>
      <x:c r="H49" s="3" t="str">
        <x:v>斩杀峰值降低</x:v>
      </x:c>
    </x:row>
    <x:row r="50" ht="42" customHeight="1">
      <x:c r="A50" s="11" t="str">
        <x:v>SP_HD_3B_B</x:v>
      </x:c>
      <x:c r="B50" s="11" t="str">
        <x:v>U_HD_3B</x:v>
      </x:c>
      <x:c r="C50" s="13" t="n">
        <x:v>4</x:v>
      </x:c>
      <x:c r="D50" s="11" t="str">
        <x:v>B</x:v>
      </x:c>
      <x:c r="E50" s="11" t="str">
        <x:v>追索利息</x:v>
      </x:c>
      <x:c r="F50" s="11" t="str">
        <x:v>被动回血提高为120%攻击力；主技常规倍率降至80%、强化倍率降至140%。</x:v>
      </x:c>
      <x:c r="G50" s="11" t="str">
        <x:v>近战续航</x:v>
      </x:c>
      <x:c r="H50" s="11" t="str">
        <x:v>爆发下降</x:v>
      </x:c>
    </x:row>
    <x:row r="51" ht="27" customHeight="1">
      <x:c r="A51" s="3" t="str">
        <x:v>SP_HD_4_A</x:v>
      </x:c>
      <x:c r="B51" s="3" t="str">
        <x:v>U_HD_4</x:v>
      </x:c>
      <x:c r="C51" s="12" t="n">
        <x:v>4</x:v>
      </x:c>
      <x:c r="D51" s="3" t="str">
        <x:v>A</x:v>
      </x:c>
      <x:c r="E51" s="3" t="str">
        <x:v>常务委员会</x:v>
      </x:c>
      <x:c r="F51" s="3" t="str">
        <x:v>骨掌HP升为90、ATK升为16，单施法者上限降为2。</x:v>
      </x:c>
      <x:c r="G51" s="3" t="str">
        <x:v>精锐随从用途</x:v>
      </x:c>
      <x:c r="H51" s="3" t="str">
        <x:v>召唤次数与倒地事件减少</x:v>
      </x:c>
    </x:row>
    <x:row r="52" ht="42" customHeight="1">
      <x:c r="A52" s="11" t="str">
        <x:v>SP_HD_4_B</x:v>
      </x:c>
      <x:c r="B52" s="11" t="str">
        <x:v>U_HD_4</x:v>
      </x:c>
      <x:c r="C52" s="13" t="n">
        <x:v>4</x:v>
      </x:c>
      <x:c r="D52" s="11" t="str">
        <x:v>B</x:v>
      </x:c>
      <x:c r="E52" s="11" t="str">
        <x:v>临时委员会</x:v>
      </x:c>
      <x:c r="F52" s="11" t="str">
        <x:v>主技每次召唤3只，单施法者上限升为6；骨掌HP降为35、ATK降为7。</x:v>
      </x:c>
      <x:c r="G52" s="11" t="str">
        <x:v>消耗手群用途</x:v>
      </x:c>
      <x:c r="H52" s="11" t="str">
        <x:v>占满队伍临时名额且惧AOE</x:v>
      </x:c>
    </x:row>
    <x:row r="53" ht="27" customHeight="1">
      <x:c r="A53" s="3" t="str">
        <x:v>SP_BL_1_A</x:v>
      </x:c>
      <x:c r="B53" s="3" t="str">
        <x:v>U_BL_1</x:v>
      </x:c>
      <x:c r="C53" s="12" t="n">
        <x:v>4</x:v>
      </x:c>
      <x:c r="D53" s="3" t="str">
        <x:v>A</x:v>
      </x:c>
      <x:c r="E53" s="3" t="str">
        <x:v>重点慰问</x:v>
      </x:c>
      <x:c r="F53" s="3" t="str">
        <x:v>主技治疗倍率升至210%，冷却增至3秒。</x:v>
      </x:c>
      <x:c r="G53" s="3" t="str">
        <x:v>提高单次治疗</x:v>
      </x:c>
      <x:c r="H53" s="3" t="str">
        <x:v>治疗节奏变慢</x:v>
      </x:c>
    </x:row>
    <x:row r="54" ht="42" customHeight="1">
      <x:c r="A54" s="11" t="str">
        <x:v>SP_BL_1_B</x:v>
      </x:c>
      <x:c r="B54" s="11" t="str">
        <x:v>U_BL_1</x:v>
      </x:c>
      <x:c r="C54" s="13" t="n">
        <x:v>4</x:v>
      </x:c>
      <x:c r="D54" s="11" t="str">
        <x:v>B</x:v>
      </x:c>
      <x:c r="E54" s="11" t="str">
        <x:v>平分附件</x:v>
      </x:c>
      <x:c r="F54" s="11" t="str">
        <x:v>被动护盾改给治疗目标旁2米内另一名正式友军，倍率升为实际治疗量50%。</x:v>
      </x:c>
      <x:c r="G54" s="11" t="str">
        <x:v>双目标保护</x:v>
      </x:c>
      <x:c r="H54" s="11" t="str">
        <x:v>原治疗目标不再获盾</x:v>
      </x:c>
    </x:row>
    <x:row r="55" ht="27" customHeight="1">
      <x:c r="A55" s="3" t="str">
        <x:v>SP_BL_2A_A</x:v>
      </x:c>
      <x:c r="B55" s="3" t="str">
        <x:v>U_BL_2A</x:v>
      </x:c>
      <x:c r="C55" s="12" t="n">
        <x:v>4</x:v>
      </x:c>
      <x:c r="D55" s="3" t="str">
        <x:v>A</x:v>
      </x:c>
      <x:c r="E55" s="3" t="str">
        <x:v>集中修复</x:v>
      </x:c>
      <x:c r="F55" s="3" t="str">
        <x:v>主技只治疗1人，倍率升至280%。</x:v>
      </x:c>
      <x:c r="G55" s="3" t="str">
        <x:v>单体抢救</x:v>
      </x:c>
      <x:c r="H55" s="3" t="str">
        <x:v>失去群体治疗</x:v>
      </x:c>
    </x:row>
    <x:row r="56" ht="27" customHeight="1">
      <x:c r="A56" s="11" t="str">
        <x:v>SP_BL_2A_B</x:v>
      </x:c>
      <x:c r="B56" s="11" t="str">
        <x:v>U_BL_2A</x:v>
      </x:c>
      <x:c r="C56" s="13" t="n">
        <x:v>4</x:v>
      </x:c>
      <x:c r="D56" s="11" t="str">
        <x:v>B</x:v>
      </x:c>
      <x:c r="E56" s="11" t="str">
        <x:v>普惠修复</x:v>
      </x:c>
      <x:c r="F56" s="11" t="str">
        <x:v>主技目标上限增至5，倍率降为65%；被动持续降为2秒。</x:v>
      </x:c>
      <x:c r="G56" s="11" t="str">
        <x:v>扩大受益数量</x:v>
      </x:c>
      <x:c r="H56" s="11" t="str">
        <x:v>单目标回复降低</x:v>
      </x:c>
    </x:row>
    <x:row r="57" ht="27" customHeight="1">
      <x:c r="A57" s="3" t="str">
        <x:v>SP_BL_2B_A</x:v>
      </x:c>
      <x:c r="B57" s="3" t="str">
        <x:v>U_BL_2B</x:v>
      </x:c>
      <x:c r="C57" s="12" t="n">
        <x:v>4</x:v>
      </x:c>
      <x:c r="D57" s="3" t="str">
        <x:v>A</x:v>
      </x:c>
      <x:c r="E57" s="3" t="str">
        <x:v>点名冷静</x:v>
      </x:c>
      <x:c r="F57" s="3" t="str">
        <x:v>主技只命中1敌，施加CHILL 2层，伤害降为50%攻击力。</x:v>
      </x:c>
      <x:c r="G57" s="3" t="str">
        <x:v>加速单点冻结</x:v>
      </x:c>
      <x:c r="H57" s="3" t="str">
        <x:v>范围与伤害下降</x:v>
      </x:c>
    </x:row>
    <x:row r="58" ht="27" customHeight="1">
      <x:c r="A58" s="11" t="str">
        <x:v>SP_BL_2B_B</x:v>
      </x:c>
      <x:c r="B58" s="11" t="str">
        <x:v>U_BL_2B</x:v>
      </x:c>
      <x:c r="C58" s="13" t="n">
        <x:v>4</x:v>
      </x:c>
      <x:c r="D58" s="11" t="str">
        <x:v>B</x:v>
      </x:c>
      <x:c r="E58" s="11" t="str">
        <x:v>广播冷静</x:v>
      </x:c>
      <x:c r="F58" s="11" t="str">
        <x:v>主技目标上限增至4，冷却升至4秒。</x:v>
      </x:c>
      <x:c r="G58" s="11" t="str">
        <x:v>扩大控场覆盖</x:v>
      </x:c>
      <x:c r="H58" s="11" t="str">
        <x:v>控制间隔变长</x:v>
      </x:c>
    </x:row>
    <x:row r="59" ht="42" customHeight="1">
      <x:c r="A59" s="3" t="str">
        <x:v>SP_BL_3A_A</x:v>
      </x:c>
      <x:c r="B59" s="3" t="str">
        <x:v>U_BL_3A</x:v>
      </x:c>
      <x:c r="C59" s="12" t="n">
        <x:v>4</x:v>
      </x:c>
      <x:c r="D59" s="3" t="str">
        <x:v>A</x:v>
      </x:c>
      <x:c r="E59" s="3" t="str">
        <x:v>独奏返工</x:v>
      </x:c>
      <x:c r="F59" s="3" t="str">
        <x:v>主技只作用于1人，治疗提高为240%攻击力并给予HASTE 2层持续4秒。</x:v>
      </x:c>
      <x:c r="G59" s="3" t="str">
        <x:v>支援单核心</x:v>
      </x:c>
      <x:c r="H59" s="3" t="str">
        <x:v>失去群体节奏</x:v>
      </x:c>
    </x:row>
    <x:row r="60" ht="42" customHeight="1">
      <x:c r="A60" s="11" t="str">
        <x:v>SP_BL_3A_B</x:v>
      </x:c>
      <x:c r="B60" s="11" t="str">
        <x:v>U_BL_3A</x:v>
      </x:c>
      <x:c r="C60" s="13" t="n">
        <x:v>4</x:v>
      </x:c>
      <x:c r="D60" s="11" t="str">
        <x:v>B</x:v>
      </x:c>
      <x:c r="E60" s="11" t="str">
        <x:v>合奏返工</x:v>
      </x:c>
      <x:c r="F60" s="11" t="str">
        <x:v>主技目标上限增至6，治疗降为65%攻击力；HASTE持续降为3秒。</x:v>
      </x:c>
      <x:c r="G60" s="11" t="str">
        <x:v>全队推进触发频率</x:v>
      </x:c>
      <x:c r="H60" s="11" t="str">
        <x:v>单兵回复降低</x:v>
      </x:c>
    </x:row>
    <x:row r="61" ht="27" customHeight="1">
      <x:c r="A61" s="3" t="str">
        <x:v>SP_BL_3B_A</x:v>
      </x:c>
      <x:c r="B61" s="3" t="str">
        <x:v>U_BL_3B</x:v>
      </x:c>
      <x:c r="C61" s="12" t="n">
        <x:v>4</x:v>
      </x:c>
      <x:c r="D61" s="3" t="str">
        <x:v>A</x:v>
      </x:c>
      <x:c r="E61" s="3" t="str">
        <x:v>专线电报</x:v>
      </x:c>
      <x:c r="F61" s="3" t="str">
        <x:v>主技只命中1敌，倍率提高至240%攻击力。</x:v>
      </x:c>
      <x:c r="G61" s="3" t="str">
        <x:v>单点法术爆发</x:v>
      </x:c>
      <x:c r="H61" s="3" t="str">
        <x:v>失去群伤</x:v>
      </x:c>
    </x:row>
    <x:row r="62" ht="27" customHeight="1">
      <x:c r="A62" s="11" t="str">
        <x:v>SP_BL_3B_B</x:v>
      </x:c>
      <x:c r="B62" s="11" t="str">
        <x:v>U_BL_3B</x:v>
      </x:c>
      <x:c r="C62" s="13" t="n">
        <x:v>4</x:v>
      </x:c>
      <x:c r="D62" s="11" t="str">
        <x:v>B</x:v>
      </x:c>
      <x:c r="E62" s="11" t="str">
        <x:v>公共电网</x:v>
      </x:c>
      <x:c r="F62" s="11" t="str">
        <x:v>主技目标上限升至5，每目标倍率降为70%。</x:v>
      </x:c>
      <x:c r="G62" s="11" t="str">
        <x:v>扩大电联动覆盖</x:v>
      </x:c>
      <x:c r="H62" s="11" t="str">
        <x:v>单体伤害下降</x:v>
      </x:c>
    </x:row>
    <x:row r="63" ht="42" customHeight="1">
      <x:c r="A63" s="3" t="str">
        <x:v>SP_BL_4_A</x:v>
      </x:c>
      <x:c r="B63" s="3" t="str">
        <x:v>U_BL_4</x:v>
      </x:c>
      <x:c r="C63" s="12" t="n">
        <x:v>4</x:v>
      </x:c>
      <x:c r="D63" s="3" t="str">
        <x:v>A</x:v>
      </x:c>
      <x:c r="E63" s="3" t="str">
        <x:v>康复分公司</x:v>
      </x:c>
      <x:c r="F63" s="3" t="str">
        <x:v>主技治疗升至160%攻击力，被动不再造成伤害但保留标记。</x:v>
      </x:c>
      <x:c r="G63" s="3" t="str">
        <x:v>治疗用途</x:v>
      </x:c>
      <x:c r="H63" s="3" t="str">
        <x:v>削减倒地输出</x:v>
      </x:c>
    </x:row>
    <x:row r="64" ht="27" customHeight="1">
      <x:c r="A64" s="11" t="str">
        <x:v>SP_BL_4_B</x:v>
      </x:c>
      <x:c r="B64" s="11" t="str">
        <x:v>U_BL_4</x:v>
      </x:c>
      <x:c r="C64" s="13" t="n">
        <x:v>4</x:v>
      </x:c>
      <x:c r="D64" s="11" t="str">
        <x:v>B</x:v>
      </x:c>
      <x:c r="E64" s="11" t="str">
        <x:v>追悼分公司</x:v>
      </x:c>
      <x:c r="F64" s="11" t="str">
        <x:v>被动法术倍率升至150%，主技治疗目标上限降至2。</x:v>
      </x:c>
      <x:c r="G64" s="11" t="str">
        <x:v>倒地联动用途</x:v>
      </x:c>
      <x:c r="H64" s="11" t="str">
        <x:v>群体治疗下降</x:v>
      </x:c>
    </x:row>
    <x:row r="65" ht="27" customHeight="1">
      <x:c r="A65" s="3" t="str">
        <x:v>SP_CF_1_A</x:v>
      </x:c>
      <x:c r="B65" s="3" t="str">
        <x:v>U_CF_1</x:v>
      </x:c>
      <x:c r="C65" s="12" t="n">
        <x:v>4</x:v>
      </x:c>
      <x:c r="D65" s="3" t="str">
        <x:v>A</x:v>
      </x:c>
      <x:c r="E65" s="3" t="str">
        <x:v>加厚棺板</x:v>
      </x:c>
      <x:c r="F65" s="3" t="str">
        <x:v>主技护盾升至22%最大生命，移动速度降低15%。</x:v>
      </x:c>
      <x:c r="G65" s="3" t="str">
        <x:v>强化站桩承伤</x:v>
      </x:c>
      <x:c r="H65" s="3" t="str">
        <x:v>回场更慢</x:v>
      </x:c>
    </x:row>
    <x:row r="66" ht="27" customHeight="1">
      <x:c r="A66" s="11" t="str">
        <x:v>SP_CF_1_B</x:v>
      </x:c>
      <x:c r="B66" s="11" t="str">
        <x:v>U_CF_1</x:v>
      </x:c>
      <x:c r="C66" s="13" t="n">
        <x:v>4</x:v>
      </x:c>
      <x:c r="D66" s="11" t="str">
        <x:v>B</x:v>
      </x:c>
      <x:c r="E66" s="11" t="str">
        <x:v>快速周转</x:v>
      </x:c>
      <x:c r="F66" s="11" t="str">
        <x:v>被动冷却降至3秒，治疗降为7%最大生命。</x:v>
      </x:c>
      <x:c r="G66" s="11" t="str">
        <x:v>更频繁尸骸事件</x:v>
      </x:c>
      <x:c r="H66" s="11" t="str">
        <x:v>单位尸骸回血效率下降</x:v>
      </x:c>
    </x:row>
    <x:row r="67" ht="27" customHeight="1">
      <x:c r="A67" s="3" t="str">
        <x:v>SP_CF_2A_A</x:v>
      </x:c>
      <x:c r="B67" s="3" t="str">
        <x:v>U_CF_2A</x:v>
      </x:c>
      <x:c r="C67" s="12" t="n">
        <x:v>4</x:v>
      </x:c>
      <x:c r="D67" s="3" t="str">
        <x:v>A</x:v>
      </x:c>
      <x:c r="E67" s="3" t="str">
        <x:v>单间升级</x:v>
      </x:c>
      <x:c r="F67" s="3" t="str">
        <x:v>棺仆HP升至110、ATK升至12，单施法者上限降至1。</x:v>
      </x:c>
      <x:c r="G67" s="3" t="str">
        <x:v>精锐随从</x:v>
      </x:c>
      <x:c r="H67" s="3" t="str">
        <x:v>牺牲数量与倒地频率</x:v>
      </x:c>
    </x:row>
    <x:row r="68" ht="42" customHeight="1">
      <x:c r="A68" s="11" t="str">
        <x:v>SP_CF_2A_B</x:v>
      </x:c>
      <x:c r="B68" s="11" t="str">
        <x:v>U_CF_2A</x:v>
      </x:c>
      <x:c r="C68" s="13" t="n">
        <x:v>4</x:v>
      </x:c>
      <x:c r="D68" s="11" t="str">
        <x:v>B</x:v>
      </x:c>
      <x:c r="E68" s="11" t="str">
        <x:v>隔断出租</x:v>
      </x:c>
      <x:c r="F68" s="11" t="str">
        <x:v>每次召唤2只棺仆，HP降至40、ATK降至5；单施法者上限仍2。</x:v>
      </x:c>
      <x:c r="G68" s="11" t="str">
        <x:v>快速填满前线</x:v>
      </x:c>
      <x:c r="H68" s="11" t="str">
        <x:v>单体质量下降</x:v>
      </x:c>
    </x:row>
    <x:row r="69" ht="42" customHeight="1">
      <x:c r="A69" s="3" t="str">
        <x:v>SP_CF_2B_A</x:v>
      </x:c>
      <x:c r="B69" s="3" t="str">
        <x:v>U_CF_2B</x:v>
      </x:c>
      <x:c r="C69" s="12" t="n">
        <x:v>4</x:v>
      </x:c>
      <x:c r="D69" s="3" t="str">
        <x:v>A</x:v>
      </x:c>
      <x:c r="E69" s="3" t="str">
        <x:v>定向焚单</x:v>
      </x:c>
      <x:c r="F69" s="3" t="str">
        <x:v>主技只命中1敌，初始倍率提高至190%，BURN仍为1份，持续延长至8秒。</x:v>
      </x:c>
      <x:c r="G69" s="3" t="str">
        <x:v>单体燃烧</x:v>
      </x:c>
      <x:c r="H69" s="3" t="str">
        <x:v>失去群伤</x:v>
      </x:c>
    </x:row>
    <x:row r="70" ht="27" customHeight="1">
      <x:c r="A70" s="11" t="str">
        <x:v>SP_CF_2B_B</x:v>
      </x:c>
      <x:c r="B70" s="11" t="str">
        <x:v>U_CF_2B</x:v>
      </x:c>
      <x:c r="C70" s="13" t="n">
        <x:v>4</x:v>
      </x:c>
      <x:c r="D70" s="11" t="str">
        <x:v>B</x:v>
      </x:c>
      <x:c r="E70" s="11" t="str">
        <x:v>公开焚单</x:v>
      </x:c>
      <x:c r="F70" s="11" t="str">
        <x:v>主技范围增至3米、最多5敌，初始倍率降至55%。</x:v>
      </x:c>
      <x:c r="G70" s="11" t="str">
        <x:v>扩大火域</x:v>
      </x:c>
      <x:c r="H70" s="11" t="str">
        <x:v>单点伤害下降</x:v>
      </x:c>
    </x:row>
    <x:row r="71" ht="27" customHeight="1">
      <x:c r="A71" s="3" t="str">
        <x:v>SP_CF_3A_A</x:v>
      </x:c>
      <x:c r="B71" s="3" t="str">
        <x:v>U_CF_3A</x:v>
      </x:c>
      <x:c r="C71" s="12" t="n">
        <x:v>4</x:v>
      </x:c>
      <x:c r="D71" s="3" t="str">
        <x:v>A</x:v>
      </x:c>
      <x:c r="E71" s="3" t="str">
        <x:v>独户坚守</x:v>
      </x:c>
      <x:c r="F71" s="3" t="str">
        <x:v>主技只嘲讽1敌，护盾提高至35%最大生命。</x:v>
      </x:c>
      <x:c r="G71" s="3" t="str">
        <x:v>单体首领承伤</x:v>
      </x:c>
      <x:c r="H71" s="3" t="str">
        <x:v>失去群体牵制</x:v>
      </x:c>
    </x:row>
    <x:row r="72" ht="42" customHeight="1">
      <x:c r="A72" s="11" t="str">
        <x:v>SP_CF_3A_B</x:v>
      </x:c>
      <x:c r="B72" s="11" t="str">
        <x:v>U_CF_3A</x:v>
      </x:c>
      <x:c r="C72" s="13" t="n">
        <x:v>4</x:v>
      </x:c>
      <x:c r="D72" s="11" t="str">
        <x:v>B</x:v>
      </x:c>
      <x:c r="E72" s="11" t="str">
        <x:v>邻里互助</x:v>
      </x:c>
      <x:c r="F72" s="11" t="str">
        <x:v>主技护盾改为自身12%最大生命，并给予3米内2正式友军各100%攻击力护盾。</x:v>
      </x:c>
      <x:c r="G72" s="11" t="str">
        <x:v>扩大保护范围</x:v>
      </x:c>
      <x:c r="H72" s="11" t="str">
        <x:v>自身耐压下降</x:v>
      </x:c>
    </x:row>
    <x:row r="73" ht="27" customHeight="1">
      <x:c r="A73" s="3" t="str">
        <x:v>SP_CF_3B_A</x:v>
      </x:c>
      <x:c r="B73" s="3" t="str">
        <x:v>U_CF_3B</x:v>
      </x:c>
      <x:c r="C73" s="12" t="n">
        <x:v>4</x:v>
      </x:c>
      <x:c r="D73" s="3" t="str">
        <x:v>A</x:v>
      </x:c>
      <x:c r="E73" s="3" t="str">
        <x:v>无痕处理</x:v>
      </x:c>
      <x:c r="F73" s="3" t="str">
        <x:v>主技不再消耗尸骸，固定130%攻击力；被动不再触发。</x:v>
      </x:c>
      <x:c r="G73" s="3" t="str">
        <x:v>去掉资源依赖</x:v>
      </x:c>
      <x:c r="H73" s="3" t="str">
        <x:v>失去尸骸事件与标记</x:v>
      </x:c>
    </x:row>
    <x:row r="74" ht="42" customHeight="1">
      <x:c r="A74" s="11" t="str">
        <x:v>SP_CF_3B_B</x:v>
      </x:c>
      <x:c r="B74" s="11" t="str">
        <x:v>U_CF_3B</x:v>
      </x:c>
      <x:c r="C74" s="13" t="n">
        <x:v>4</x:v>
      </x:c>
      <x:c r="D74" s="11" t="str">
        <x:v>B</x:v>
      </x:c>
      <x:c r="E74" s="11" t="str">
        <x:v>专项处理</x:v>
      </x:c>
      <x:c r="F74" s="11" t="str">
        <x:v>主技目标上限降为1，无尸骸倍率180%、消耗尸骸倍率300%。</x:v>
      </x:c>
      <x:c r="G74" s="11" t="str">
        <x:v>单体法术兑现</x:v>
      </x:c>
      <x:c r="H74" s="11" t="str">
        <x:v>失去范围输出</x:v>
      </x:c>
    </x:row>
    <x:row r="75" ht="42" customHeight="1">
      <x:c r="A75" s="3" t="str">
        <x:v>SP_CF_4_A</x:v>
      </x:c>
      <x:c r="B75" s="3" t="str">
        <x:v>U_CF_4</x:v>
      </x:c>
      <x:c r="C75" s="12" t="n">
        <x:v>4</x:v>
      </x:c>
      <x:c r="D75" s="3" t="str">
        <x:v>A</x:v>
      </x:c>
      <x:c r="E75" s="3" t="str">
        <x:v>精品公墓</x:v>
      </x:c>
      <x:c r="F75" s="3" t="str">
        <x:v>主技固定召唤1只且不消耗尸骸；棺卫HP升至150、ATK升至20，单施法者上限降为2。</x:v>
      </x:c>
      <x:c r="G75" s="3" t="str">
        <x:v>精锐棺阵用途</x:v>
      </x:c>
      <x:c r="H75" s="3" t="str">
        <x:v>失去自身额外尸骸消费与双召唤</x:v>
      </x:c>
    </x:row>
    <x:row r="76" ht="57" customHeight="1">
      <x:c r="A76" s="11" t="str">
        <x:v>SP_CF_4_B</x:v>
      </x:c>
      <x:c r="B76" s="11" t="str">
        <x:v>U_CF_4</x:v>
      </x:c>
      <x:c r="C76" s="13" t="n">
        <x:v>4</x:v>
      </x:c>
      <x:c r="D76" s="11" t="str">
        <x:v>B</x:v>
      </x:c>
      <x:c r="E76" s="11" t="str">
        <x:v>公益骨灰堂</x:v>
      </x:c>
      <x:c r="F76" s="11" t="str">
        <x:v>主技基础棺卫HP降至65、ATK降至8；消耗尸骸的额外棺卫数改为2，单施法者上限升至5，需先有3个空余名额才消耗尸骸。</x:v>
      </x:c>
      <x:c r="G76" s="11" t="str">
        <x:v>数量与尸骸用途</x:v>
      </x:c>
      <x:c r="H76" s="11" t="str">
        <x:v>占用更多临时名额且单兵脆弱</x:v>
      </x:c>
    </x:row>
    <x:row r="77">
      <x:c r="A77" s="3"/>
      <x:c r="B77" s="3"/>
      <x:c r="C77" s="3"/>
      <x:c r="D77" s="3"/>
      <x:c r="E77" s="3"/>
      <x:c r="F77" s="3"/>
      <x:c r="G77" s="3"/>
      <x:c r="H77" s="3"/>
    </x:row>
    <x:row r="78">
      <x:c r="A78" s="3"/>
      <x:c r="B78" s="3"/>
      <x:c r="C78" s="3"/>
      <x:c r="D78" s="3"/>
      <x:c r="E78" s="3"/>
      <x:c r="F78" s="3"/>
      <x:c r="G78" s="3"/>
      <x:c r="H78" s="3"/>
    </x:row>
    <x:row r="79">
      <x:c r="A79" s="3"/>
      <x:c r="B79" s="3"/>
      <x:c r="C79" s="3"/>
      <x:c r="D79" s="3"/>
      <x:c r="E79" s="3"/>
      <x:c r="F79" s="3"/>
      <x:c r="G79" s="3"/>
      <x:c r="H79" s="3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38e2f83ec16f45ae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.670000076293945" hidden="0" customWidth="1"/>
    <x:col min="2" max="2" width="15.5600004196167" hidden="0" customWidth="1"/>
    <x:col min="3" max="3" width="13.329999923706055" hidden="0" customWidth="1"/>
    <x:col min="4" max="4" width="37.779998779296875" hidden="0" customWidth="1"/>
    <x:col min="5" max="5" width="17.780000686645508" hidden="0" customWidth="1"/>
    <x:col min="6" max="6" width="17.780000686645508" hidden="0" customWidth="1"/>
    <x:col min="7" max="7" width="31.110000610351562" hidden="0" customWidth="1"/>
    <x:col min="8" max="8" width="4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30" customHeight="1">
      <x:c r="A2" s="5" t="str">
        <x:v>状态与公共事件边界</x:v>
      </x:c>
      <x:c r="B2" s="4"/>
      <x:c r="C2" s="4"/>
      <x:c r="D2" s="4"/>
      <x:c r="E2" s="4"/>
      <x:c r="F2" s="4"/>
      <x:c r="G2" s="4"/>
      <x:c r="H2" s="4"/>
    </x:row>
    <x:row r="3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状态ID</x:v>
      </x:c>
      <x:c r="B4" s="10" t="str">
        <x:v>状态</x:v>
      </x:c>
      <x:c r="C4" s="10" t="str">
        <x:v>类别</x:v>
      </x:c>
      <x:c r="D4" s="10" t="str">
        <x:v>叠加规则</x:v>
      </x:c>
      <x:c r="E4" s="10" t="str">
        <x:v>持续</x:v>
      </x:c>
      <x:c r="F4" s="10" t="str">
        <x:v>上限</x:v>
      </x:c>
      <x:c r="G4" s="10" t="str">
        <x:v>结束规则</x:v>
      </x:c>
      <x:c r="H4" s="10" t="str">
        <x:v>交互</x:v>
      </x:c>
    </x:row>
    <x:row r="5" ht="87" customHeight="1">
      <x:c r="A5" s="3" t="str">
        <x:v>POISON</x:v>
      </x:c>
      <x:c r="B5" s="3" t="str">
        <x:v>尸毒</x:v>
      </x:c>
      <x:c r="C5" s="3" t="str">
        <x:v>debuff</x:v>
      </x:c>
      <x:c r="D5" s="3" t="str">
        <x:v>每层每秒造成0.6法术伤害；来源技能可覆盖持续时间，重复施加刷新该来源层的时间；同一目标每秒只发1次POISON_TICK。 聚合事件保留各施加者的实际伤害贡献列表，以支持只监听自身尸毒的技能。</x:v>
      </x:c>
      <x:c r="E5" s="3" t="str">
        <x:v>默认8秒；技能明确写明时以技能为准</x:v>
      </x:c>
      <x:c r="F5" s="3" t="str">
        <x:v>总计20层；各来源仍服从其技能局部上限</x:v>
      </x:c>
      <x:c r="G5" s="3" t="str">
        <x:v>来源层到期移除；单位被击倒或波结束时清除</x:v>
      </x:c>
      <x:c r="H5" s="3" t="str">
        <x:v>毒伤不暴击、不发BASIC_HIT；可被净化；由毒造成的实际生命伤害仍发DAMAGE_TAKEN，击倒仍发对应KO事件。</x:v>
      </x:c>
    </x:row>
    <x:row r="6" ht="42" customHeight="1">
      <x:c r="A6" s="11" t="str">
        <x:v>CHILL</x:v>
      </x:c>
      <x:c r="B6" s="11" t="str">
        <x:v>寒滞</x:v>
      </x:c>
      <x:c r="C6" s="11" t="str">
        <x:v>debuff</x:v>
      </x:c>
      <x:c r="D6" s="11" t="str">
        <x:v>每层使移动与攻击速度降低8%；重复施加刷新时间；达到3层时清空寒滞并转为FROZEN。</x:v>
      </x:c>
      <x:c r="E6" s="11" t="str">
        <x:v>默认4秒</x:v>
      </x:c>
      <x:c r="F6" s="11" t="str">
        <x:v>3层；冻结抗性期间最多积累2层</x:v>
      </x:c>
      <x:c r="G6" s="11" t="str">
        <x:v>到期、转为FROZEN或波结束时清除</x:v>
      </x:c>
      <x:c r="H6" s="11" t="str">
        <x:v>对WET目标施加寒滞时消耗WET并额外增加1层寒滞；冻结结束后3秒不能再次冻结。</x:v>
      </x:c>
    </x:row>
    <x:row r="7" ht="42" customHeight="1">
      <x:c r="A7" s="3" t="str">
        <x:v>FROZEN</x:v>
      </x:c>
      <x:c r="B7" s="3" t="str">
        <x:v>封骨冻结</x:v>
      </x:c>
      <x:c r="C7" s="3" t="str">
        <x:v>control</x:v>
      </x:c>
      <x:c r="D7" s="3" t="str">
        <x:v>不可叠层；被冻结时不能移动、普攻或施放主动技能；持续伤害、治疗与既有投射物继续结算。</x:v>
      </x:c>
      <x:c r="E7" s="3" t="str">
        <x:v>默认1.5秒；后续施加不延长本次冻结</x:v>
      </x:c>
      <x:c r="F7" s="3" t="str">
        <x:v>1层，结束后3秒冻结抗性</x:v>
      </x:c>
      <x:c r="G7" s="3" t="str">
        <x:v>时间到、被击倒或波结束时清除</x:v>
      </x:c>
      <x:c r="H7" s="3" t="str">
        <x:v>不阻断死亡、召唤、毒跳等事件结算；抗性由同一状态系统记录，不另产生可叠加增益。</x:v>
      </x:c>
    </x:row>
    <x:row r="8" ht="57" customHeight="1">
      <x:c r="A8" s="11" t="str">
        <x:v>BURN</x:v>
      </x:c>
      <x:c r="B8" s="11" t="str">
        <x:v>尸焰</x:v>
      </x:c>
      <x:c r="C8" s="11" t="str">
        <x:v>debuff</x:v>
      </x:c>
      <x:c r="D8" s="11" t="str">
        <x:v>每秒造成2法术伤害；同源只刷新，异源不叠伤，保留剩余总伤害较高的一份。</x:v>
      </x:c>
      <x:c r="E8" s="11" t="str">
        <x:v>默认4秒</x:v>
      </x:c>
      <x:c r="F8" s="11" t="str">
        <x:v>1份</x:v>
      </x:c>
      <x:c r="G8" s="11" t="str">
        <x:v>到期、遇WET、被击倒或波结束时清除</x:v>
      </x:c>
      <x:c r="H8" s="11" t="str">
        <x:v>给燃烧目标施加WET会熄灭尸焰并保留WET；给WET目标施加BURN会消耗WET，本次BURN不附着；严格按事件先后顺序执行。</x:v>
      </x:c>
    </x:row>
    <x:row r="9" ht="42" customHeight="1">
      <x:c r="A9" s="3" t="str">
        <x:v>WET</x:v>
      </x:c>
      <x:c r="B9" s="3" t="str">
        <x:v>冥水浸湿</x:v>
      </x:c>
      <x:c r="C9" s="3" t="str">
        <x:v>debuff</x:v>
      </x:c>
      <x:c r="D9" s="3" t="str">
        <x:v>自身不造成伤害或减防，重复施加只刷新时间。</x:v>
      </x:c>
      <x:c r="E9" s="3" t="str">
        <x:v>默认5秒</x:v>
      </x:c>
      <x:c r="F9" s="3" t="str">
        <x:v>1层</x:v>
      </x:c>
      <x:c r="G9" s="3" t="str">
        <x:v>到期、被CHILL或BURN消耗、被击倒或波结束时清除</x:v>
      </x:c>
      <x:c r="H9" s="3" t="str">
        <x:v>与CHILL、BURN、SHOCK交互；只有明确需要潮湿的效果受益，不默认提高所有法术伤害。</x:v>
      </x:c>
    </x:row>
    <x:row r="10" ht="57" customHeight="1">
      <x:c r="A10" s="11" t="str">
        <x:v>SHOCK</x:v>
      </x:c>
      <x:c r="B10" s="11" t="str">
        <x:v>骨髓电荷</x:v>
      </x:c>
      <x:c r="C10" s="11" t="str">
        <x:v>debuff</x:v>
      </x:c>
      <x:c r="D10" s="11" t="str">
        <x:v>目标下一次受到非持续、非反应的直接伤害时消耗电荷，额外承受6法术伤害；重复施加只刷新。</x:v>
      </x:c>
      <x:c r="E10" s="11" t="str">
        <x:v>默认5秒</x:v>
      </x:c>
      <x:c r="F10" s="11" t="str">
        <x:v>1层</x:v>
      </x:c>
      <x:c r="G10" s="11" t="str">
        <x:v>触发消耗、到期、被击倒或波结束时清除</x:v>
      </x:c>
      <x:c r="H10" s="11" t="str">
        <x:v>若触发时带WET，最近1名3米内敌人另受4法术伤害；这次传导不附加电荷、不再传导、不生成普攻或暴击事件。</x:v>
      </x:c>
    </x:row>
    <x:row r="11" ht="57" customHeight="1">
      <x:c r="A11" s="3" t="str">
        <x:v>BONE_ARMOR</x:v>
      </x:c>
      <x:c r="B11" s="3" t="str">
        <x:v>骨甲</x:v>
      </x:c>
      <x:c r="C11" s="3" t="str">
        <x:v>shield</x:v>
      </x:c>
      <x:c r="D11" s="3" t="str">
        <x:v>多来源数值可相加；每份保留各自到期时间；新增的实际骨甲量大于0才发SHIELD_GAIN。</x:v>
      </x:c>
      <x:c r="E11" s="3" t="str">
        <x:v>来源定义，默认6秒</x:v>
      </x:c>
      <x:c r="F11" s="3" t="str">
        <x:v>当前总量不超过目标最大生命60%；溢出丢弃</x:v>
      </x:c>
      <x:c r="G11" s="3" t="str">
        <x:v>受伤耗尽、各来源到期、被击倒或波结束时清除</x:v>
      </x:c>
      <x:c r="H11" s="3" t="str">
        <x:v>物理先计算护甲再扣骨甲；法术和真实伤害不经护甲但先扣骨甲；仅被伤害打至总骨甲0时发SHIELD_BREAK，自然到期不发；骨甲不同于护甲数值。</x:v>
      </x:c>
    </x:row>
    <x:row r="12" ht="57" customHeight="1">
      <x:c r="A12" s="11" t="str">
        <x:v>EXPOSED</x:v>
      </x:c>
      <x:c r="B12" s="11" t="str">
        <x:v>破甲</x:v>
      </x:c>
      <x:c r="C12" s="11" t="str">
        <x:v>debuff</x:v>
      </x:c>
      <x:c r="D12" s="11" t="str">
        <x:v>每层护甲减少3；各技能可明确规定同源叠层与局部上限，未说明时同源刷新而不叠层；不同来源合计受全局上限限制。</x:v>
      </x:c>
      <x:c r="E12" s="11" t="str">
        <x:v>默认4秒</x:v>
      </x:c>
      <x:c r="F12" s="11" t="str">
        <x:v>全局最多5层，总减甲最多15；有效护甲最低0</x:v>
      </x:c>
      <x:c r="G12" s="11" t="str">
        <x:v>到期、被击倒或波结束时清除</x:v>
      </x:c>
      <x:c r="H12" s="11" t="str">
        <x:v>只影响物理伤害；不减少骨甲值，不提高法术或真实伤害；技能局部上限可为2、3或5层但不能突破全局5层。</x:v>
      </x:c>
    </x:row>
    <x:row r="13" ht="87" customHeight="1">
      <x:c r="A13" s="3" t="str">
        <x:v>HASTE</x:v>
      </x:c>
      <x:c r="B13" s="3" t="str">
        <x:v>骸骨疾行</x:v>
      </x:c>
      <x:c r="C13" s="3" t="str">
        <x:v>buff</x:v>
      </x:c>
      <x:c r="D13" s="3" t="str">
        <x:v>每层攻击速度提高15%；默认同源刷新、异源可叠；具体技能明确允许同源叠层或一次施加2层时按技能执行，仍服从全局2层上限。</x:v>
      </x:c>
      <x:c r="E13" s="3" t="str">
        <x:v>默认4秒</x:v>
      </x:c>
      <x:c r="F13" s="3" t="str">
        <x:v>全局2层、合计30%攻击速度；技能局部上限可更低；最终攻击速度仍服从全局攻击速度上限</x:v>
      </x:c>
      <x:c r="G13" s="3" t="str">
        <x:v>来源到期、被击倒或波结束时清除</x:v>
      </x:c>
      <x:c r="H13" s="3" t="str">
        <x:v>只改变普攻间隔，不缩短技能冷却或增加SUMMON次数；移动加速由明确写明的效果处理。</x:v>
      </x:c>
    </x:row>
    <x:row r="14" ht="42" customHeight="1">
      <x:c r="A14" s="11" t="str">
        <x:v>REGEN</x:v>
      </x:c>
      <x:c r="B14" s="11" t="str">
        <x:v>腐肉再生</x:v>
      </x:c>
      <x:c r="C14" s="11" t="str">
        <x:v>buff</x:v>
      </x:c>
      <x:c r="D14" s="11" t="str">
        <x:v>每秒回复最大生命2%；重复施加保留剩余总回复较高的一份，不叠次数。</x:v>
      </x:c>
      <x:c r="E14" s="11" t="str">
        <x:v>默认5秒</x:v>
      </x:c>
      <x:c r="F14" s="11" t="str">
        <x:v>1份</x:v>
      </x:c>
      <x:c r="G14" s="11" t="str">
        <x:v>到期、被击倒或波结束时清除</x:v>
      </x:c>
      <x:c r="H14" s="11" t="str">
        <x:v>每次实际回复HP大于0发EFFECTIVE_HEAL；满血跳过事件；不会复活或修复命匣。</x:v>
      </x:c>
    </x:row>
    <x:row r="15" ht="42" customHeight="1">
      <x:c r="A15" s="3" t="str">
        <x:v>TAUNTED</x:v>
      </x:c>
      <x:c r="B15" s="3" t="str">
        <x:v>受挑衅</x:v>
      </x:c>
      <x:c r="C15" s="3" t="str">
        <x:v>control</x:v>
      </x:c>
      <x:c r="D15" s="3" t="str">
        <x:v>目标优先攻击嘲讽来源；新来源替换旧来源，同来源只刷新。</x:v>
      </x:c>
      <x:c r="E15" s="3" t="str">
        <x:v>默认2秒</x:v>
      </x:c>
      <x:c r="F15" s="3" t="str">
        <x:v>1份；连续受嘲讽最多4秒后有2秒抗性</x:v>
      </x:c>
      <x:c r="G15" s="3" t="str">
        <x:v>来源死亡或离场、到期、被击倒或波结束时清除</x:v>
      </x:c>
      <x:c r="H15" s="3" t="str">
        <x:v>只在新施加或来源实际改变时发TAUNT；不强制瞬移、穿越碰撞或增加攻击距离。</x:v>
      </x:c>
    </x:row>
    <x:row r="16" ht="57" customHeight="1">
      <x:c r="A16" s="11" t="str">
        <x:v>SOUL_BRAND</x:v>
      </x:c>
      <x:c r="B16" s="11" t="str">
        <x:v>灵魂烙印</x:v>
      </x:c>
      <x:c r="C16" s="11" t="str">
        <x:v>debuff</x:v>
      </x:c>
      <x:c r="D16" s="11" t="str">
        <x:v>目标承受印记者造成的直接伤害提高10%；目标最多保留1个印记者，新来源替换旧来源。</x:v>
      </x:c>
      <x:c r="E16" s="11" t="str">
        <x:v>默认6秒</x:v>
      </x:c>
      <x:c r="F16" s="11" t="str">
        <x:v>1层</x:v>
      </x:c>
      <x:c r="G16" s="11" t="str">
        <x:v>被技能明确消耗、到期、目标被击倒或波结束时清除</x:v>
      </x:c>
      <x:c r="H16" s="11" t="str">
        <x:v>不加成毒跳、反伤、继发传导；技能可查询印记者归属；印记者死亡不立即解除，但不能把烙印变成永久资源。</x:v>
      </x:c>
    </x:row>
    <x:row r="17">
      <x:c r="A17" s="3"/>
      <x:c r="B17" s="3"/>
      <x:c r="C17" s="3"/>
      <x:c r="D17" s="3"/>
      <x:c r="E17" s="3"/>
      <x:c r="F17" s="3"/>
      <x:c r="G17" s="3"/>
      <x:c r="H17" s="3"/>
    </x:row>
    <x:row r="18">
      <x:c r="A18" s="3"/>
      <x:c r="B18" s="3"/>
      <x:c r="C18" s="3"/>
      <x:c r="D18" s="3"/>
      <x:c r="E18" s="3"/>
      <x:c r="F18" s="3"/>
      <x:c r="G18" s="3"/>
      <x:c r="H18" s="3"/>
    </x:row>
    <x:row r="19">
      <x:c r="A19" s="3"/>
      <x:c r="B19" s="3"/>
      <x:c r="C19" s="3"/>
      <x:c r="D19" s="3"/>
      <x:c r="E19" s="3"/>
      <x:c r="F19" s="3"/>
      <x:c r="G19" s="3"/>
      <x:c r="H19" s="3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799c09add9e642b3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.329999923706055" hidden="0" customWidth="1"/>
    <x:col min="2" max="2" width="20" hidden="0" customWidth="1"/>
    <x:col min="3" max="3" width="36.66999816894531" hidden="0" customWidth="1"/>
    <x:col min="4" max="4" width="23.329999923706055" hidden="0" customWidth="1"/>
    <x:col min="5" max="5" width="45.560001373291016" hidden="0" customWidth="1"/>
    <x:col min="6" max="6" width="33.33000183105469" hidden="0" customWidth="1"/>
    <x:col min="7" max="7" width="28.889999389648438" hidden="0" customWidth="1"/>
    <x:col min="8" max="8" width="33.3300018310546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30" customHeight="1">
      <x:c r="A2" s="5" t="str">
        <x:v>可替换的协同链与反制</x:v>
      </x:c>
      <x:c r="B2" s="4"/>
      <x:c r="C2" s="4"/>
      <x:c r="D2" s="4"/>
      <x:c r="E2" s="4"/>
      <x:c r="F2" s="4"/>
      <x:c r="G2" s="4"/>
      <x:c r="H2" s="4"/>
    </x:row>
    <x:row r="3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协同ID</x:v>
      </x:c>
      <x:c r="B4" s="10" t="str">
        <x:v>名称</x:v>
      </x:c>
      <x:c r="C4" s="10" t="str">
        <x:v>关联兵种ID</x:v>
      </x:c>
      <x:c r="D4" s="10" t="str">
        <x:v>遗物标签</x:v>
      </x:c>
      <x:c r="E4" s="10" t="str">
        <x:v>事件链</x:v>
      </x:c>
      <x:c r="F4" s="10" t="str">
        <x:v>成本与限制</x:v>
      </x:c>
      <x:c r="G4" s="10" t="str">
        <x:v>敌方反制</x:v>
      </x:c>
      <x:c r="H4" s="10" t="str">
        <x:v>替代入口</x:v>
      </x:c>
    </x:row>
    <x:row r="5" ht="57" customHeight="1">
      <x:c r="A5" s="3" t="str">
        <x:v>SY01</x:v>
      </x:c>
      <x:c r="B5" s="3" t="str">
        <x:v>碎盾工伤险</x:v>
      </x:c>
      <x:c r="C5" s="3" t="str">
        <x:v>U_SK_1, U_BL_1, U_SK_3A</x:v>
      </x:c>
      <x:c r="D5" s="3" t="str">
        <x:v>SHIELD_GAIN, SHIELD_BREAK, EFFECTIVE_HEAL</x:v>
      </x:c>
      <x:c r="E5" s="3" t="str">
        <x:v>骨牌盾手/骨阵审计长产生护盾→敌伤耗尽护盾→散架意见与破盾追责造成伤害；骨铃实习生治疗并补盾，启动下一轮独立因果链。</x:v>
      </x:c>
      <x:c r="F5" s="3" t="str">
        <x:v>护盾到期不算破裂；不同反击有独立冷却，正式军队上限6。</x:v>
      </x:c>
      <x:c r="G5" s="3" t="str">
        <x:v>远程拉扯、范围法术持续压力</x:v>
      </x:c>
      <x:c r="H5" s="3" t="str">
        <x:v>护盾可来自SK_2A、SK_4、CF_1；治疗可换ZM_2B、BL_2A。</x:v>
      </x:c>
    </x:row>
    <x:row r="6" ht="42" customHeight="1">
      <x:c r="A6" s="11" t="str">
        <x:v>SY02</x:v>
      </x:c>
      <x:c r="B6" s="11" t="str">
        <x:v>治疗也能传染</x:v>
      </x:c>
      <x:c r="C6" s="11" t="str">
        <x:v>U_ZM_1, U_ZM_2B, U_BL_2A</x:v>
      </x:c>
      <x:c r="D6" s="11" t="str">
        <x:v>EFFECTIVE_HEAL, POISON</x:v>
      </x:c>
      <x:c r="E6" s="11" t="str">
        <x:v>护理员/骨铃治疗→腐尸获得护盾；护理员治疗同时给附近敌人上毒→持续削弱敌阵。</x:v>
      </x:c>
      <x:c r="F6" s="11" t="str">
        <x:v>治疗必须实际恢复HP；毒有层数与时长上限。</x:v>
      </x:c>
      <x:c r="G6" s="11" t="str">
        <x:v>爆发击杀、毒抗、打散站位</x:v>
      </x:c>
      <x:c r="H6" s="11" t="str">
        <x:v>治疗源可换BL_1、BL_3A或HR_2B；毒前排可换ZM_2A。</x:v>
      </x:c>
    </x:row>
    <x:row r="7" ht="42" customHeight="1">
      <x:c r="A7" s="3" t="str">
        <x:v>SY03</x:v>
      </x:c>
      <x:c r="B7" s="3" t="str">
        <x:v>毒账分期结清</x:v>
      </x:c>
      <x:c r="C7" s="3" t="str">
        <x:v>U_ZM_2A, U_ZM_3B</x:v>
      </x:c>
      <x:c r="D7" s="3" t="str">
        <x:v>POISON_TICK, POISON</x:v>
      </x:c>
      <x:c r="E7" s="3" t="str">
        <x:v>播报员多目标上毒→毒账核销师消费有限毒层形成爆发→剩余毒跳继续支持其治疗。</x:v>
      </x:c>
      <x:c r="F7" s="3" t="str">
        <x:v>消费毒层降低后续POISON_TICK次数；两种收益不能同时按未消费毒计算。</x:v>
      </x:c>
      <x:c r="G7" s="3" t="str">
        <x:v>毒抗、单体速杀、远程分散</x:v>
      </x:c>
      <x:c r="H7" s="3" t="str">
        <x:v>毒源可换ZM_1、ZM_3A、ZM_4；以持续毒为主时可不带核销师。</x:v>
      </x:c>
    </x:row>
    <x:row r="8" ht="42" customHeight="1">
      <x:c r="A8" s="11" t="str">
        <x:v>SY04</x:v>
      </x:c>
      <x:c r="B8" s="11" t="str">
        <x:v>拒收重甲快递</x:v>
      </x:c>
      <x:c r="C8" s="11" t="str">
        <x:v>U_HR_2A, U_SK_2B, U_SK_3B</x:v>
      </x:c>
      <x:c r="D8" s="11" t="str">
        <x:v>DASH_END, EXPOSED</x:v>
      </x:c>
      <x:c r="E8" s="11" t="str">
        <x:v>亡马冲刺终点施加EXPOSED，弩吏继续破甲→执行官对EXPOSED目标追加真实伤害。</x:v>
      </x:c>
      <x:c r="F8" s="11" t="str">
        <x:v>追击目标与射击目标可能不同；执行官必须实际命中带破甲目标。</x:v>
      </x:c>
      <x:c r="G8" s="11" t="str">
        <x:v>后排分散、范围护盾、控制亡马</x:v>
      </x:c>
      <x:c r="H8" s="11" t="str">
        <x:v>EXPOSED可由HR_1或HR_3A提供；输出可由高等级物理正式单位承担。</x:v>
      </x:c>
    </x:row>
    <x:row r="9" ht="42" customHeight="1">
      <x:c r="A9" s="3" t="str">
        <x:v>SY05</x:v>
      </x:c>
      <x:c r="B9" s="3" t="str">
        <x:v>冷链冷静期</x:v>
      </x:c>
      <x:c r="C9" s="3" t="str">
        <x:v>U_HR_2B, U_BL_2B</x:v>
      </x:c>
      <x:c r="D9" s="3" t="str">
        <x:v>CHILL, DASH_END</x:v>
      </x:c>
      <x:c r="E9" s="3" t="str">
        <x:v>灵柩马回场治疗并给附近敌人CHILL→骨铃追加CHILL达到冻结阈值→获得治疗与重新站位时间。</x:v>
      </x:c>
      <x:c r="F9" s="3" t="str">
        <x:v>CHILL全局3层转冻结，抗再次冻结窗口不能绕过。</x:v>
      </x:c>
      <x:c r="G9" s="3" t="str">
        <x:v>控制抗性、大敌、断开两者覆盖</x:v>
      </x:c>
      <x:c r="H9" s="3" t="str">
        <x:v>CHILL来源可由冷系遗物替代；机动治疗可换HR_3B。</x:v>
      </x:c>
    </x:row>
    <x:row r="10" ht="42" customHeight="1">
      <x:c r="A10" s="11" t="str">
        <x:v>SY06</x:v>
      </x:c>
      <x:c r="B10" s="11" t="str">
        <x:v>湿手接电网</x:v>
      </x:c>
      <x:c r="C10" s="11" t="str">
        <x:v>U_HD_2B, U_BL_3B</x:v>
      </x:c>
      <x:c r="D10" s="11" t="str">
        <x:v>WET, SHOCK, DIRECT_CRIT</x:v>
      </x:c>
      <x:c r="E10" s="11" t="str">
        <x:v>接线手施加WET→悼词官法术命中湿目标施加SHOCK→后续符合条件的直接命中消费电收益。</x:v>
      </x:c>
      <x:c r="F10" s="11" t="str">
        <x:v>技能法术不冒充BASIC_HIT或DIRECT_CRIT；SHOCK服从状态冷却与层数上限。</x:v>
      </x:c>
      <x:c r="G10" s="11" t="str">
        <x:v>分散阵型、魔法防护、快速击杀接线手</x:v>
      </x:c>
      <x:c r="H10" s="11" t="str">
        <x:v>WET可由BL_3B自身暴击提供，也可由WET遗物提供；接线手可以独立工作。</x:v>
      </x:c>
    </x:row>
    <x:row r="11" ht="42" customHeight="1">
      <x:c r="A11" s="3" t="str">
        <x:v>SY07</x:v>
      </x:c>
      <x:c r="B11" s="3" t="str">
        <x:v>人手越少越忙</x:v>
      </x:c>
      <x:c r="C11" s="3" t="str">
        <x:v>U_HD_2A, U_BL_4</x:v>
      </x:c>
      <x:c r="D11" s="3" t="str">
        <x:v>SUMMON, ALLY_KO</x:v>
      </x:c>
      <x:c r="E11" s="3" t="str">
        <x:v>包工头召唤临时骨指→骨指被敌伤击倒→包工头加速补员，哀乐总裁给倒地点周围敌人标记与伤害。</x:v>
      </x:c>
      <x:c r="F11" s="3" t="str">
        <x:v>全队临时兵12；到期消失不触发倒地；骨指不留尸骸。</x:v>
      </x:c>
      <x:c r="G11" s="3" t="str">
        <x:v>清除本体、沉默或远程分离、单体低频攻击</x:v>
      </x:c>
      <x:c r="H11" s="3" t="str">
        <x:v>召唤可换CF_2A、HD_4；倒地支援可来自ALLY_KO遗物。</x:v>
      </x:c>
    </x:row>
    <x:row r="12" ht="57" customHeight="1">
      <x:c r="A12" s="11" t="str">
        <x:v>SY08</x:v>
      </x:c>
      <x:c r="B12" s="11" t="str">
        <x:v>一尸多份账</x:v>
      </x:c>
      <x:c r="C12" s="11" t="str">
        <x:v>U_CF_3B, U_HD_3A, U_CF_4</x:v>
      </x:c>
      <x:c r="D12" s="11" t="str">
        <x:v>CORPSE_CONSUME, SUMMON</x:v>
      </x:c>
      <x:c r="E12" s="11" t="str">
        <x:v>任一尸骸消费者消耗唯一尸骸→地产王给附近正式军队护盾；手群或法术获得对应收益。</x:v>
      </x:c>
      <x:c r="F12" s="11" t="str">
        <x:v>每具尸骸仅消费1次；同时触发按稳定单位ID顺序抢占，不可一尸多用；三单位会彼此争尸。</x:v>
      </x:c>
      <x:c r="G12" s="11" t="str">
        <x:v>无小怪首领、远程拉扯、尸骸不足</x:v>
      </x:c>
      <x:c r="H12" s="11" t="str">
        <x:v>消费者保留其中1种即可，搭配ZM_3A或CF_1也能产生尸骸事件。</x:v>
      </x:c>
    </x:row>
    <x:row r="13" ht="42" customHeight="1">
      <x:c r="A13" s="3" t="str">
        <x:v>SY09</x:v>
      </x:c>
      <x:c r="B13" s="3" t="str">
        <x:v>跑步报销</x:v>
      </x:c>
      <x:c r="C13" s="3" t="str">
        <x:v>U_HR_3B, U_SK_2B, U_HD_1</x:v>
      </x:c>
      <x:c r="D13" s="3" t="str">
        <x:v>HASTE, DASH_END</x:v>
      </x:c>
      <x:c r="E13" s="3" t="str">
        <x:v>驿站长冲刺回场→为友军提供HASTE→弩吏更快积普攻破甲，断手更快产生普攻计数技能。</x:v>
      </x:c>
      <x:c r="F13" s="3" t="str">
        <x:v>加速仅影响APS，不缩短技能明确冷却；位移占用驿站长攻击时间。</x:v>
      </x:c>
      <x:c r="G13" s="3" t="str">
        <x:v>范围压制、击退拆阵</x:v>
      </x:c>
      <x:c r="H13" s="3" t="str">
        <x:v>HASTE源可换BL_2A、BL_3A；普攻触发受益者可换SK_1、ZM_2A。</x:v>
      </x:c>
    </x:row>
    <x:row r="14" ht="42" customHeight="1">
      <x:c r="A14" s="11" t="str">
        <x:v>SY10</x:v>
      </x:c>
      <x:c r="B14" s="11" t="str">
        <x:v>护盾换治疗</x:v>
      </x:c>
      <x:c r="C14" s="11" t="str">
        <x:v>U_SK_3A, U_BL_3A</x:v>
      </x:c>
      <x:c r="D14" s="11" t="str">
        <x:v>SHIELD_GAIN, SHIELD_BREAK, EFFECTIVE_HEAL</x:v>
      </x:c>
      <x:c r="E14" s="11" t="str">
        <x:v>审计长群体护盾→敌人耗尽某正式友军护盾→追悼指挥修复该友军→新普攻链再提供护盾。</x:v>
      </x:c>
      <x:c r="F14" s="11" t="str">
        <x:v>同一因果链同效果仅一次；纯治疗补出的护盾不能瞬间自破。</x:v>
      </x:c>
      <x:c r="G14" s="11" t="str">
        <x:v>伤害过高瞬间穿盾击杀、分散拉扯</x:v>
      </x:c>
      <x:c r="H14" s="11" t="str">
        <x:v>护盾源可换SK_4、CF_3A；治疗源可换普通治疗者但失去精准破盾触发。</x:v>
      </x:c>
    </x:row>
    <x:row r="15" ht="42" customHeight="1">
      <x:c r="A15" s="3" t="str">
        <x:v>SY11</x:v>
      </x:c>
      <x:c r="B15" s="3" t="str">
        <x:v>标记尾款</x:v>
      </x:c>
      <x:c r="C15" s="3" t="str">
        <x:v>U_HD_3B, U_BL_4, U_CF_3B</x:v>
      </x:c>
      <x:c r="D15" s="3" t="str">
        <x:v>SOUL_BRAND, DIRECT_CRIT</x:v>
      </x:c>
      <x:c r="E15" s="3" t="str">
        <x:v>骨铃倒地回响或棺术尸骸消费产生SOUL_BRAND→断腕直接暴击标记目标获得治疗，完成残血收割。</x:v>
      </x:c>
      <x:c r="F15" s="3" t="str">
        <x:v>标记本身不保证击杀，断腕需贴身且真正暴击。</x:v>
      </x:c>
      <x:c r="G15" s="3" t="str">
        <x:v>高护甲、拉扯、不可接近后排</x:v>
      </x:c>
      <x:c r="H15" s="3" t="str">
        <x:v>断腕自身可以上标记；外部标记可由SOUL_BRAND遗物替代，因此不是必绑3人。</x:v>
      </x:c>
    </x:row>
    <x:row r="16" ht="42" customHeight="1">
      <x:c r="A16" s="11" t="str">
        <x:v>SY12</x:v>
      </x:c>
      <x:c r="B16" s="11" t="str">
        <x:v>火场请勿乱推</x:v>
      </x:c>
      <x:c r="C16" s="11" t="str">
        <x:v>U_CF_2B, U_HR_3A</x:v>
      </x:c>
      <x:c r="D16" s="11" t="str">
        <x:v>BURN, DASH_END</x:v>
      </x:c>
      <x:c r="E16" s="11" t="str">
        <x:v>守住敌人密度使火棺多目标燃烧；骨骑长选原地取证专精时冲刺不推散敌群，保持范围收益。</x:v>
      </x:c>
      <x:c r="F16" s="11" t="str">
        <x:v>未选原地取证时推开可能形成负协同；不能把所有位移都当正收益。</x:v>
      </x:c>
      <x:c r="G16" s="11" t="str">
        <x:v>分散敌群、火抗、远程拉扯</x:v>
      </x:c>
      <x:c r="H16" s="11" t="str">
        <x:v>不用骨骑长也可由SK_2A、CF_3A嘲讽留住敌人。</x:v>
      </x:c>
    </x:row>
    <x:row r="17" ht="42" customHeight="1">
      <x:c r="A17" s="3" t="str">
        <x:v>SY13</x:v>
      </x:c>
      <x:c r="B17" s="3" t="str">
        <x:v>工会集体保险</x:v>
      </x:c>
      <x:c r="C17" s="3" t="str">
        <x:v>U_SK_4, U_ZM_4, U_BL_2A</x:v>
      </x:c>
      <x:c r="D17" s="3" t="str">
        <x:v>SHIELD_BREAK, EFFECTIVE_HEAL</x:v>
      </x:c>
      <x:c r="E17" s="3" t="str">
        <x:v>骨王给正式兵护盾→伤害耗盾与损HP→骨铃/腐尸群疗→院长将实际治疗转范围伤害，骨王破盾再补伤。</x:v>
      </x:c>
      <x:c r="F17" s="3" t="str">
        <x:v>本构筑受益于真实受伤但不能靠自损无限触发；治疗转伤有1秒冷却和倍率上限。</x:v>
      </x:c>
      <x:c r="G17" s="3" t="str">
        <x:v>高爆发优先杀治疗、长射程拆阵</x:v>
      </x:c>
      <x:c r="H17" s="3" t="str">
        <x:v>骨王可换SK_3A，治疗可换ZM_2B或HR_3B。</x:v>
      </x:c>
    </x:row>
    <x:row r="18" ht="42" customHeight="1">
      <x:c r="A18" s="11" t="str">
        <x:v>SY14</x:v>
      </x:c>
      <x:c r="B18" s="11" t="str">
        <x:v>棺材不空岗</x:v>
      </x:c>
      <x:c r="C18" s="11" t="str">
        <x:v>U_CF_2A, U_CF_3A, U_BL_1</x:v>
      </x:c>
      <x:c r="D18" s="11" t="str">
        <x:v>SUMMON, TAUNT, SHIELD_GAIN</x:v>
      </x:c>
      <x:c r="E18" s="11" t="str">
        <x:v>棺仆补前线→钉子户嘲讽留住敌人→骨铃维持正式棺体，临时棺仆倒地给其召唤者护盾。</x:v>
      </x:c>
      <x:c r="F18" s="11" t="str">
        <x:v>骨铃主技不治疗临时棺仆；不能把正式治疗写成所有友军治疗。</x:v>
      </x:c>
      <x:c r="G18" s="11" t="str">
        <x:v>穿透后排、魔法爆发、临时兵AOE</x:v>
      </x:c>
      <x:c r="H18" s="11" t="str">
        <x:v>临时兵可换HD_2A；正式承伤可换SK_2A。</x:v>
      </x:c>
    </x:row>
    <x:row r="19" ht="42" customHeight="1">
      <x:c r="A19" s="3" t="str">
        <x:v>SY15</x:v>
      </x:c>
      <x:c r="B19" s="3" t="str">
        <x:v>死人也要交接</x:v>
      </x:c>
      <x:c r="C19" s="3" t="str">
        <x:v>U_ZM_3A, U_CF_2B, U_CF_4</x:v>
      </x:c>
      <x:c r="D19" s="3" t="str">
        <x:v>CORPSE_CONSUME, HASTE</x:v>
      </x:c>
      <x:c r="E19" s="3" t="str">
        <x:v>腐尸消费原生敌尸进行修复→火棺获得HASTE、地产王给正式友军盾→火棺更快积累普攻触发燃烧。</x:v>
      </x:c>
      <x:c r="F19" s="3" t="str">
        <x:v>同一具尸骸只消费一次但可通知不同效果；HASTE不缩短明确冷却。</x:v>
      </x:c>
      <x:c r="G19" s="3" t="str">
        <x:v>尸骸稀缺首领、消耗者离开5至6米覆盖</x:v>
      </x:c>
      <x:c r="H19" s="3" t="str">
        <x:v>消费者可换CF_1、HD_3A，尸骸收益可由遗物替代。</x:v>
      </x:c>
    </x:row>
    <x:row r="20" ht="42" customHeight="1">
      <x:c r="A20" s="11" t="str">
        <x:v>SY16</x:v>
      </x:c>
      <x:c r="B20" s="11" t="str">
        <x:v>少而精的末班车</x:v>
      </x:c>
      <x:c r="C20" s="11" t="str">
        <x:v>U_HR_4, U_SK_3B, U_BL_3A</x:v>
      </x:c>
      <x:c r="D20" s="11" t="str">
        <x:v>DASH_END, EFFECTIVE_HEAL, HASTE</x:v>
      </x:c>
      <x:c r="E20" s="11" t="str">
        <x:v>灵车冲刺吸引侧翼并回场支援→追悼指挥用独奏支援执行官→执行官普攻与破甲后爆发完成击杀。</x:v>
      </x:c>
      <x:c r="F20" s="11" t="str">
        <x:v>仅6正式上阵；需选择灵车支援专精和执行官射界，不保证所有波次都最佳。</x:v>
      </x:c>
      <x:c r="G20" s="11" t="str">
        <x:v>多路快怪、孤立核心、移动封锁</x:v>
      </x:c>
      <x:c r="H20" s="11" t="str">
        <x:v>灵车可换HR_2B或HR_3B，单核心支援可服务HD_3B而非执行官。</x:v>
      </x:c>
    </x:row>
    <x:row r="21">
      <x:c r="A21" s="3"/>
      <x:c r="B21" s="3"/>
      <x:c r="C21" s="3"/>
      <x:c r="D21" s="3"/>
      <x:c r="E21" s="3"/>
      <x:c r="F21" s="3"/>
      <x:c r="G21" s="3"/>
      <x:c r="H21" s="3"/>
    </x:row>
    <x:row r="22">
      <x:c r="A22" s="3"/>
      <x:c r="B22" s="3"/>
      <x:c r="C22" s="3"/>
      <x:c r="D22" s="3"/>
      <x:c r="E22" s="3"/>
      <x:c r="F22" s="3"/>
      <x:c r="G22" s="3"/>
      <x:c r="H22" s="3"/>
    </x:row>
    <x:row r="23">
      <x:c r="A23" s="3"/>
      <x:c r="B23" s="3"/>
      <x:c r="C23" s="3"/>
      <x:c r="D23" s="3"/>
      <x:c r="E23" s="3"/>
      <x:c r="F23" s="3"/>
      <x:c r="G23" s="3"/>
      <x:c r="H23" s="3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3f47d61828d64e8f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.329999923706055" hidden="0" customWidth="1"/>
    <x:col min="2" max="2" width="17.780000686645508" hidden="0" customWidth="1"/>
    <x:col min="3" max="3" width="15.5600004196167" hidden="0" customWidth="1"/>
    <x:col min="4" max="4" width="27.780000686645508" hidden="0" customWidth="1"/>
    <x:col min="5" max="5" width="24.440000534057617" hidden="0" customWidth="1"/>
    <x:col min="6" max="6" width="24.440000534057617" hidden="0" customWidth="1"/>
    <x:col min="7" max="7" width="33.33000183105469" hidden="0" customWidth="1"/>
    <x:col min="8" max="8" width="28.889999389648438" hidden="0" customWidth="1"/>
    <x:col min="9" max="9" width="36.66999816894531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5" t="str">
        <x:v>八种构筑的概率与布阵选择</x:v>
      </x:c>
      <x:c r="B2" s="4"/>
      <x:c r="C2" s="4"/>
      <x:c r="D2" s="4"/>
      <x:c r="E2" s="4"/>
      <x:c r="F2" s="4"/>
      <x:c r="G2" s="4"/>
      <x:c r="H2" s="4"/>
      <x:c r="I2" s="4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构筑ID</x:v>
      </x:c>
      <x:c r="B4" s="10" t="str">
        <x:v>名称</x:v>
      </x:c>
      <x:c r="C4" s="10" t="str">
        <x:v>家族</x:v>
      </x:c>
      <x:c r="D4" s="10" t="str">
        <x:v>核心事件</x:v>
      </x:c>
      <x:c r="E4" s="10" t="str">
        <x:v>优先属性</x:v>
      </x:c>
      <x:c r="F4" s="10" t="str">
        <x:v>遗物方向</x:v>
      </x:c>
      <x:c r="G4" s="10" t="str">
        <x:v>阵型</x:v>
      </x:c>
      <x:c r="H4" s="10" t="str">
        <x:v>弱点</x:v>
      </x:c>
      <x:c r="I4" s="10" t="str">
        <x:v>老虎机计划</x:v>
      </x:c>
    </x:row>
    <x:row r="5" ht="57" customHeight="1">
      <x:c r="A5" s="3" t="str">
        <x:v>B01</x:v>
      </x:c>
      <x:c r="B5" s="3" t="str">
        <x:v>骨潮轮回</x:v>
      </x:c>
      <x:c r="C5" s="3" t="str">
        <x:v>SK；BL；CF；HD</x:v>
      </x:c>
      <x:c r="D5" s="3" t="str">
        <x:v>SUMMON；ALLY_KO；CORPSE_CONSUME；EFFECTIVE_HEAL</x:v>
      </x:c>
      <x:c r="E5" s="3" t="str">
        <x:v>召唤技能冷却；前排存活时间；治疗量</x:v>
      </x:c>
      <x:c r="F5" s="3" t="str">
        <x:v>summon；death；corpse；heal</x:v>
      </x:c>
      <x:c r="G5" s="3" t="str">
        <x:v>SK/CF在前，BL保持在后排保护区，HD提供后排持续命中；留出临时兵生成空位。</x:v>
      </x:c>
      <x:c r="H5" s="3" t="str">
        <x:v>大范围持续清场、压缩召唤空间、直取后排的冲锋会削弱循环；临时兵上限不能用数量突破。</x:v>
      </x:c>
      <x:c r="I5" s="3" t="str">
        <x:v>建议试验权重SK8/BL6/CF4/HD2；先有召唤与支援再追同族高R，不能把每个召来的临时骷髅当成永久经验。</x:v>
      </x:c>
    </x:row>
    <x:row r="6" ht="57" customHeight="1">
      <x:c r="A6" s="11" t="str">
        <x:v>B02</x:v>
      </x:c>
      <x:c r="B6" s="11" t="str">
        <x:v>瘟疫接力</x:v>
      </x:c>
      <x:c r="C6" s="11" t="str">
        <x:v>ZM；HD；SK；BL</x:v>
      </x:c>
      <x:c r="D6" s="11" t="str">
        <x:v>BASIC_HIT；POISON_TICK；CORPSE_CONSUME；ENEMY_KO</x:v>
      </x:c>
      <x:c r="E6" s="11" t="str">
        <x:v>有效普攻频率；前排生命；毒持续覆盖</x:v>
      </x:c>
      <x:c r="F6" s="11" t="str">
        <x:v>poison；spread；hit；wide</x:v>
      </x:c>
      <x:c r="G6" s="11" t="str">
        <x:v>ZM与SK拖住正面，HD打持续命中，BL提供支援；尽量让传播目标处于3米内。</x:v>
      </x:c>
      <x:c r="H6" s="11" t="str">
        <x:v>净化、少量高威胁单位、快速击杀后排和短战斗限制叠毒；需要基础输出应付未铺毒的开局。</x:v>
      </x:c>
      <x:c r="I6" s="11" t="str">
        <x:v>建议ZM7/HD5/SK4/BL4；先补齐施毒和生存，再抬ZM/HD同族多线概率；分散单线仍有阵容价值。</x:v>
      </x:c>
    </x:row>
    <x:row r="7" ht="57" customHeight="1">
      <x:c r="A7" s="3" t="str">
        <x:v>B03</x:v>
      </x:c>
      <x:c r="B7" s="3" t="str">
        <x:v>墓墙反击</x:v>
      </x:c>
      <x:c r="C7" s="3" t="str">
        <x:v>CF；SK；BL；ZM</x:v>
      </x:c>
      <x:c r="D7" s="3" t="str">
        <x:v>TAUNT；DAMAGE_TAKEN；SHIELD_GAIN；SHIELD_BREAK；EFFECTIVE_HEAL</x:v>
      </x:c>
      <x:c r="E7" s="3" t="str">
        <x:v>最大生命；护甲；骨甲覆盖</x:v>
      </x:c>
      <x:c r="F7" s="3" t="str">
        <x:v>taunt；shield；hurt；heal；armor_break</x:v>
      </x:c>
      <x:c r="G7" s="3" t="str">
        <x:v>CF和SK构成前排，BL放在骨甲与治疗覆盖范围内，ZM补持续伤害。</x:v>
      </x:c>
      <x:c r="H7" s="3" t="str">
        <x:v>绕行直取命匣、法术穿过护甲优势、限制治疗与长时间消耗；骨甲并不免疫真实伤害。</x:v>
      </x:c>
      <x:c r="I7" s="3" t="str">
        <x:v>建议CF8/SK6/BL4/ZM2；保住两个前排位置，不把所有普通支援兵喂给唯一坦克。</x:v>
      </x:c>
    </x:row>
    <x:row r="8" ht="57" customHeight="1">
      <x:c r="A8" s="11" t="str">
        <x:v>B04</x:v>
      </x:c>
      <x:c r="B8" s="11" t="str">
        <x:v>断手暴击链</x:v>
      </x:c>
      <x:c r="C8" s="11" t="str">
        <x:v>HD；SK；BL；HR</x:v>
      </x:c>
      <x:c r="D8" s="11" t="str">
        <x:v>BASIC_HIT；DIRECT_CRIT；EFFECTIVE_HEAL；ENEMY_KO</x:v>
      </x:c>
      <x:c r="E8" s="11" t="str">
        <x:v>暴击率；攻击速度；支援覆盖</x:v>
      </x:c>
      <x:c r="F8" s="11" t="str">
        <x:v>crit；hit；heal；haste；carry</x:v>
      </x:c>
      <x:c r="G8" s="11" t="str">
        <x:v>SK保护HD，BL支援后排，HR处理侧翼；HD不要最先接敌。</x:v>
      </x:c>
      <x:c r="H8" s="11" t="str">
        <x:v>高护甲正面、攻击频率压制、绕后击杀；只堆暴击而缺稳定命中会断链。</x:v>
      </x:c>
      <x:c r="I8" s="11" t="str">
        <x:v>建议HD8/SK5/BL5/HR2；机器保留HD关键格但不能忽略保护者；单线HD也可训练，不能XP升出生R。</x:v>
      </x:c>
    </x:row>
    <x:row r="9" ht="57" customHeight="1">
      <x:c r="A9" s="3" t="str">
        <x:v>B05</x:v>
      </x:c>
      <x:c r="B9" s="3" t="str">
        <x:v>冥骑破阵</x:v>
      </x:c>
      <x:c r="C9" s="3" t="str">
        <x:v>HR；HD；SK；CF</x:v>
      </x:c>
      <x:c r="D9" s="3" t="str">
        <x:v>DASH_END；TAUNT；BASIC_HIT；ENEMY_KO</x:v>
      </x:c>
      <x:c r="E9" s="3" t="str">
        <x:v>冲锋可用频率；物理攻击；落点存活</x:v>
      </x:c>
      <x:c r="F9" s="3" t="str">
        <x:v>dash；physical；mobility；armor_break</x:v>
      </x:c>
      <x:c r="G9" s="3" t="str">
        <x:v>CF/SK先接战，HR从可达通道冲后排，HD在侧后提供持续输出；不把冲锋当穿墙。</x:v>
      </x:c>
      <x:c r="H9" s="3" t="str">
        <x:v>密集阻挡、控制冲锋、诱导冲入集火区；没有合法通道时需要普通输出兜底。</x:v>
      </x:c>
      <x:c r="I9" s="3" t="str">
        <x:v>建议HR8/HD4/SK4/CF4；优先补前排与骑兵各一，再追高R骑兵，避免全骑无人守命匣。</x:v>
      </x:c>
    </x:row>
    <x:row r="10" ht="57" customHeight="1">
      <x:c r="A10" s="11" t="str">
        <x:v>B06</x:v>
      </x:c>
      <x:c r="B10" s="11" t="str">
        <x:v>冥水冰雷</x:v>
      </x:c>
      <x:c r="C10" s="11" t="str">
        <x:v>BL；HD；ZM；SK</x:v>
      </x:c>
      <x:c r="D10" s="11" t="str">
        <x:v>BASIC_HIT；POISON_TICK；SHIELD_GAIN；ENEMY_KO</x:v>
      </x:c>
      <x:c r="E10" s="11" t="str">
        <x:v>状态覆盖；普攻频率；前排拖延</x:v>
      </x:c>
      <x:c r="F10" s="11" t="str">
        <x:v>wet；shock；chill；hit；magic</x:v>
      </x:c>
      <x:c r="G10" s="11" t="str">
        <x:v>SK/ZM承担正面，BL保持施法距离，HD负责及时消费电荷；不要让火源不断清掉自己的潮湿。</x:v>
      </x:c>
      <x:c r="H10" s="11" t="str">
        <x:v>状态净化、分散站位、直接冲后排；冰雷需要来源与消费顺序，不能只看纸面状态种类。</x:v>
      </x:c>
      <x:c r="I10" s="11" t="str">
        <x:v>建议BL8/HD6/ZM4/SK2；需抽到具备相应状态的BL/HD路线，尚未成套时用护卫支撑，不能把所有BL出生形态视为同一种功能。</x:v>
      </x:c>
    </x:row>
    <x:row r="11" ht="57" customHeight="1">
      <x:c r="A11" s="3" t="str">
        <x:v>B07</x:v>
      </x:c>
      <x:c r="B11" s="3" t="str">
        <x:v>献身爆葬</x:v>
      </x:c>
      <x:c r="C11" s="3" t="str">
        <x:v>SK；CF；BL；ZM</x:v>
      </x:c>
      <x:c r="D11" s="3" t="str">
        <x:v>ALLY_KO；SUMMON；CORPSE_CONSUME；EFFECTIVE_HEAL</x:v>
      </x:c>
      <x:c r="E11" s="3" t="str">
        <x:v>可重复召唤的频率；战场尸骸利用；真实前排存活</x:v>
      </x:c>
      <x:c r="F11" s="3" t="str">
        <x:v>death；summon；corpse；area</x:v>
      </x:c>
      <x:c r="G11" s="3" t="str">
        <x:v>永久CF守住命匣，CF召出的临时棺仆在敌群附近承伤，BL留在安全处；死亡触发位置比死亡次数更重要。</x:v>
      </x:c>
      <x:c r="H11" s="3" t="str">
        <x:v>远程拉扯、把召唤物杀在远离敌人的位置、提前杀掉召唤者；遗物每波次数用尽后必须仍能作战。</x:v>
      </x:c>
      <x:c r="I11" s="3" t="str">
        <x:v>建议SK6/CF6/BL4/ZM4；不需要把概率压成单族；管理献祭不触发战内爆葬。</x:v>
      </x:c>
    </x:row>
    <x:row r="12" ht="72" customHeight="1">
      <x:c r="A12" s="11" t="str">
        <x:v>B08</x:v>
      </x:c>
      <x:c r="B12" s="11" t="str">
        <x:v>独骑护送</x:v>
      </x:c>
      <x:c r="C12" s="11" t="str">
        <x:v>HR；CF；BL；HD</x:v>
      </x:c>
      <x:c r="D12" s="11" t="str">
        <x:v>DASH_END；SHIELD_GAIN；DIRECT_CRIT；EFFECTIVE_HEAL</x:v>
      </x:c>
      <x:c r="E12" s="11" t="str">
        <x:v>核心训练等级；命匣防线稳定；高R核心获得率</x:v>
      </x:c>
      <x:c r="F12" s="11" t="str">
        <x:v>carry；narrow；shield；heal；training</x:v>
      </x:c>
      <x:c r="G12" s="11" t="str">
        <x:v>CF固定守正面，BL为HR提供支援，HD补远程；核心冲出后仍需有人承担防线。</x:v>
      </x:c>
      <x:c r="H12" s="11" t="str">
        <x:v>针对单体的长控制、核心与支援脱节、需要同时应付多个入口的波次；不能成为所有敌情下的唯一最优解。</x:v>
      </x:c>
      <x:c r="I12" s="11" t="str">
        <x:v>建议HR8/CF6/BL4/HD2；高R大奖是替换身体或独立上阵的对象；同族低R高等级旧核心可与新高R身体换壳，保留新职业和R、XP取max，不能反向喂高R把旧身体升阶。</x:v>
      </x:c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8d9d0de01a06431f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.779999732971191" hidden="0" customWidth="1"/>
    <x:col min="2" max="2" width="20" hidden="0" customWidth="1"/>
    <x:col min="3" max="3" width="12.220000267028809" hidden="0" customWidth="1"/>
    <x:col min="4" max="4" width="12.220000267028809" hidden="0" customWidth="1"/>
    <x:col min="5" max="5" width="11.109999656677246" hidden="0" customWidth="1"/>
    <x:col min="6" max="6" width="9.4399995803833" hidden="0" customWidth="1"/>
    <x:col min="7" max="7" width="27.780000686645508" hidden="0" customWidth="1"/>
    <x:col min="8" max="8" width="45.560001373291016" hidden="0" customWidth="1"/>
    <x:col min="9" max="9" width="42.220001220703125" hidden="0" customWidth="1"/>
    <x:col min="10" max="10" width="22.219999313354492" hidden="0" customWidth="1"/>
    <x:col min="11" max="11" width="28.889999389648438" hidden="0" customWidth="1"/>
    <x:col min="12" max="12" width="12.22000026702880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5" t="str">
        <x:v>遗物完整规则与价格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36" customHeight="1">
      <x:c r="A4" s="10" t="str">
        <x:v>遗物ID</x:v>
      </x:c>
      <x:c r="B4" s="10" t="str">
        <x:v>名称</x:v>
      </x:c>
      <x:c r="C4" s="10" t="str">
        <x:v>类型</x:v>
      </x:c>
      <x:c r="D4" s="10" t="str">
        <x:v>稀有度</x:v>
      </x:c>
      <x:c r="E4" s="10" t="str">
        <x:v>骨头价格</x:v>
      </x:c>
      <x:c r="F4" s="10" t="str">
        <x:v>解锁章</x:v>
      </x:c>
      <x:c r="G4" s="10" t="str">
        <x:v>触发</x:v>
      </x:c>
      <x:c r="H4" s="10" t="str">
        <x:v>效果</x:v>
      </x:c>
      <x:c r="I4" s="10" t="str">
        <x:v>边界和上限</x:v>
      </x:c>
      <x:c r="J4" s="10" t="str">
        <x:v>标签</x:v>
      </x:c>
      <x:c r="K4" s="10" t="str">
        <x:v>取舍</x:v>
      </x:c>
      <x:c r="L4" s="10" t="str">
        <x:v>实现阶段</x:v>
      </x:c>
    </x:row>
    <x:row r="5" ht="42" customHeight="1">
      <x:c r="A5" s="3" t="str">
        <x:v>R_M01</x:v>
      </x:c>
      <x:c r="B5" s="3" t="str">
        <x:v>棺盖止轮钮</x:v>
      </x:c>
      <x:c r="C5" s="3" t="str">
        <x:v>machine</x:v>
      </x:c>
      <x:c r="D5" s="3" t="str">
        <x:v>common</x:v>
      </x:c>
      <x:c r="E5" s="12" t="n">
        <x:v>12</x:v>
      </x:c>
      <x:c r="F5" s="12" t="n">
        <x:v>1</x:v>
      </x:c>
      <x:c r="G5" s="3" t="str">
        <x:v>盘面生成后、确认结算前主动使用</x:v>
      </x:c>
      <x:c r="H5" s="3" t="str">
        <x:v>选定1列原样保留，重抽另2列的6格。重抽按本节点当前20份权重独立取样。</x:v>
      </x:c>
      <x:c r="I5" s="3" t="str">
        <x:v>每盘1次；消耗1骨头和1次盘面干预；本盘所有来源干预总计不超过2次。</x:v>
      </x:c>
      <x:c r="J5" s="3" t="str">
        <x:v>control；lock；reroll</x:v>
      </x:c>
      <x:c r="K5" s="3" t="str">
        <x:v>能保留好列，但会失去其余两列已有的潜在线。</x:v>
      </x:c>
      <x:c r="L5" s="3" t="str">
        <x:v>Core</x:v>
      </x:c>
    </x:row>
    <x:row r="6" ht="42" customHeight="1">
      <x:c r="A6" s="11" t="str">
        <x:v>R_M02</x:v>
      </x:c>
      <x:c r="B6" s="11" t="str">
        <x:v>指骨换位钳</x:v>
      </x:c>
      <x:c r="C6" s="11" t="str">
        <x:v>machine</x:v>
      </x:c>
      <x:c r="D6" s="11" t="str">
        <x:v>common</x:v>
      </x:c>
      <x:c r="E6" s="13" t="n">
        <x:v>12</x:v>
      </x:c>
      <x:c r="F6" s="13" t="n">
        <x:v>1</x:v>
      </x:c>
      <x:c r="G6" s="11" t="str">
        <x:v>盘面生成后、确认结算前主动使用</x:v>
      </x:c>
      <x:c r="H6" s="11" t="str">
        <x:v>交换2个上下或左右相邻格的符号。</x:v>
      </x:c>
      <x:c r="I6" s="11" t="str">
        <x:v>每盘1次；消耗1骨头和1次干预；不能交换同一格；总干预上限2。</x:v>
      </x:c>
      <x:c r="J6" s="11" t="str">
        <x:v>control；swap；precision</x:v>
      </x:c>
      <x:c r="K6" s="11" t="str">
        <x:v>只能交换相邻格，无法凭空增加目标符号。</x:v>
      </x:c>
      <x:c r="L6" s="11" t="str">
        <x:v>Core</x:v>
      </x:c>
    </x:row>
    <x:row r="7" ht="42" customHeight="1">
      <x:c r="A7" s="3" t="str">
        <x:v>R_M03</x:v>
      </x:c>
      <x:c r="B7" s="3" t="str">
        <x:v>蜡封抄骨纸</x:v>
      </x:c>
      <x:c r="C7" s="3" t="str">
        <x:v>machine</x:v>
      </x:c>
      <x:c r="D7" s="3" t="str">
        <x:v>rare</x:v>
      </x:c>
      <x:c r="E7" s="12" t="n">
        <x:v>20</x:v>
      </x:c>
      <x:c r="F7" s="12" t="n">
        <x:v>1</x:v>
      </x:c>
      <x:c r="G7" s="3" t="str">
        <x:v>盘面生成后、确认结算前主动使用</x:v>
      </x:c>
      <x:c r="H7" s="3" t="str">
        <x:v>选择1格，将其符号复制到上下或左右相邻的1格，覆盖后者。</x:v>
      </x:c>
      <x:c r="I7" s="3" t="str">
        <x:v>每盘1次；消耗2骨头和1次干预；只复制符号，不复制兵、奖励或经验；总干预上限2。</x:v>
      </x:c>
      <x:c r="J7" s="3" t="str">
        <x:v>control；copy；narrow</x:v>
      </x:c>
      <x:c r="K7" s="3" t="str">
        <x:v>更适合追同族多线，但会破坏被覆盖家族的机会。</x:v>
      </x:c>
      <x:c r="L7" s="3" t="str">
        <x:v>Core</x:v>
      </x:c>
    </x:row>
    <x:row r="8" ht="42" customHeight="1">
      <x:c r="A8" s="11" t="str">
        <x:v>R_M04</x:v>
      </x:c>
      <x:c r="B8" s="11" t="str">
        <x:v>墓匠转轴</x:v>
      </x:c>
      <x:c r="C8" s="11" t="str">
        <x:v>machine</x:v>
      </x:c>
      <x:c r="D8" s="11" t="str">
        <x:v>common</x:v>
      </x:c>
      <x:c r="E8" s="13" t="n">
        <x:v>12</x:v>
      </x:c>
      <x:c r="F8" s="13" t="n">
        <x:v>1</x:v>
      </x:c>
      <x:c r="G8" s="11" t="str">
        <x:v>盘面生成后、确认结算前主动使用</x:v>
      </x:c>
      <x:c r="H8" s="11" t="str">
        <x:v>选1列，将其中3格循环上移或下移1格。</x:v>
      </x:c>
      <x:c r="I8" s="11" t="str">
        <x:v>每盘1次；消耗1次干预，不另收骨头；总干预上限2。</x:v>
      </x:c>
      <x:c r="J8" s="11" t="str">
        <x:v>control；rotate；alignment</x:v>
      </x:c>
      <x:c r="K8" s="11" t="str">
        <x:v>该列纵向是否中奖不变，主要影响横线和斜线。</x:v>
      </x:c>
      <x:c r="L8" s="11" t="str">
        <x:v>Core</x:v>
      </x:c>
    </x:row>
    <x:row r="9" ht="42" customHeight="1">
      <x:c r="A9" s="3" t="str">
        <x:v>R_M05</x:v>
      </x:c>
      <x:c r="B9" s="3" t="str">
        <x:v>点骨刻针</x:v>
      </x:c>
      <x:c r="C9" s="3" t="str">
        <x:v>machine</x:v>
      </x:c>
      <x:c r="D9" s="3" t="str">
        <x:v>common</x:v>
      </x:c>
      <x:c r="E9" s="12" t="n">
        <x:v>12</x:v>
      </x:c>
      <x:c r="F9" s="12" t="n">
        <x:v>1</x:v>
      </x:c>
      <x:c r="G9" s="3" t="str">
        <x:v>盘面生成后、确认结算前主动使用</x:v>
      </x:c>
      <x:c r="H9" s="3" t="str">
        <x:v>选1格按当前轮盘权重重新抽样。</x:v>
      </x:c>
      <x:c r="I9" s="3" t="str">
        <x:v>每盘1次；消耗1骨头和1次干预；可能抽回原符号；总干预上限2。</x:v>
      </x:c>
      <x:c r="J9" s="3" t="str">
        <x:v>control；reroll；precision</x:v>
      </x:c>
      <x:c r="K9" s="3" t="str">
        <x:v>适合修一格，不能保证修成功。</x:v>
      </x:c>
      <x:c r="L9" s="3" t="str">
        <x:v>Core</x:v>
      </x:c>
    </x:row>
    <x:row r="10" ht="42" customHeight="1">
      <x:c r="A10" s="11" t="str">
        <x:v>R_M06</x:v>
      </x:c>
      <x:c r="B10" s="11" t="str">
        <x:v>双棺翻面镜</x:v>
      </x:c>
      <x:c r="C10" s="11" t="str">
        <x:v>machine</x:v>
      </x:c>
      <x:c r="D10" s="11" t="str">
        <x:v>rare</x:v>
      </x:c>
      <x:c r="E10" s="13" t="n">
        <x:v>20</x:v>
      </x:c>
      <x:c r="F10" s="13" t="n">
        <x:v>1</x:v>
      </x:c>
      <x:c r="G10" s="11" t="str">
        <x:v>盘面生成后、确认结算前主动使用</x:v>
      </x:c>
      <x:c r="H10" s="11" t="str">
        <x:v>交换任意2整列的位置，保留各列内部次序。</x:v>
      </x:c>
      <x:c r="I10" s="11" t="str">
        <x:v>每盘1次；消耗1次干预，不另收骨头；总干预上限2。</x:v>
      </x:c>
      <x:c r="J10" s="11" t="str">
        <x:v>control；swap；alignment</x:v>
      </x:c>
      <x:c r="K10" s="11" t="str">
        <x:v>不改变各横排和竖列的组成，只能改变斜线关系。</x:v>
      </x:c>
      <x:c r="L10" s="11" t="str">
        <x:v>Core</x:v>
      </x:c>
    </x:row>
    <x:row r="11" ht="42" customHeight="1">
      <x:c r="A11" s="3" t="str">
        <x:v>R_M07</x:v>
      </x:c>
      <x:c r="B11" s="3" t="str">
        <x:v>四角骨盘</x:v>
      </x:c>
      <x:c r="C11" s="3" t="str">
        <x:v>machine</x:v>
      </x:c>
      <x:c r="D11" s="3" t="str">
        <x:v>rare</x:v>
      </x:c>
      <x:c r="E11" s="12" t="n">
        <x:v>20</x:v>
      </x:c>
      <x:c r="F11" s="12" t="n">
        <x:v>2</x:v>
      </x:c>
      <x:c r="G11" s="3" t="str">
        <x:v>盘面生成后、确认结算前主动使用</x:v>
      </x:c>
      <x:c r="H11" s="3" t="str">
        <x:v>将4个角格的符号顺时针或逆时针循环移动1位。</x:v>
      </x:c>
      <x:c r="I11" s="3" t="str">
        <x:v>每盘1次；消耗1次干预，不另收骨头；总干预上限2。</x:v>
      </x:c>
      <x:c r="J11" s="3" t="str">
        <x:v>control；rotate；alignment</x:v>
      </x:c>
      <x:c r="K11" s="3" t="str">
        <x:v>可以同时改动多条线，也可能拆掉已有中奖。</x:v>
      </x:c>
      <x:c r="L11" s="3" t="str">
        <x:v>Core</x:v>
      </x:c>
    </x:row>
    <x:row r="12" ht="42" customHeight="1">
      <x:c r="A12" s="11" t="str">
        <x:v>R_M08</x:v>
      </x:c>
      <x:c r="B12" s="11" t="str">
        <x:v>中心摄魂针</x:v>
      </x:c>
      <x:c r="C12" s="11" t="str">
        <x:v>machine</x:v>
      </x:c>
      <x:c r="D12" s="11" t="str">
        <x:v>legendary</x:v>
      </x:c>
      <x:c r="E12" s="13" t="n">
        <x:v>32</x:v>
      </x:c>
      <x:c r="F12" s="13" t="n">
        <x:v>1</x:v>
      </x:c>
      <x:c r="G12" s="11" t="str">
        <x:v>盘面生成后、确认结算前主动使用</x:v>
      </x:c>
      <x:c r="H12" s="11" t="str">
        <x:v>从当前盘面选1个非中央格，把其符号复制到中央格。</x:v>
      </x:c>
      <x:c r="I12" s="11" t="str">
        <x:v>每盘1次；消耗2骨头和1次干预；不能选择盘面不存在的符号；总干预上限2。</x:v>
      </x:c>
      <x:c r="J12" s="11" t="str">
        <x:v>control；copy；narrow</x:v>
      </x:c>
      <x:c r="K12" s="11" t="str">
        <x:v>中央格连接4条线，收益高但仍需要其他位置配合。</x:v>
      </x:c>
      <x:c r="L12" s="11" t="str">
        <x:v>Core</x:v>
      </x:c>
    </x:row>
    <x:row r="13" ht="42" customHeight="1">
      <x:c r="A13" s="3" t="str">
        <x:v>R_M09</x:v>
      </x:c>
      <x:c r="B13" s="3" t="str">
        <x:v>横棺复摇柄</x:v>
      </x:c>
      <x:c r="C13" s="3" t="str">
        <x:v>machine</x:v>
      </x:c>
      <x:c r="D13" s="3" t="str">
        <x:v>rare</x:v>
      </x:c>
      <x:c r="E13" s="12" t="n">
        <x:v>20</x:v>
      </x:c>
      <x:c r="F13" s="12" t="n">
        <x:v>1</x:v>
      </x:c>
      <x:c r="G13" s="3" t="str">
        <x:v>盘面生成后、确认结算前主动使用</x:v>
      </x:c>
      <x:c r="H13" s="3" t="str">
        <x:v>选1横排，按当前权重重新抽取该排3格。</x:v>
      </x:c>
      <x:c r="I13" s="3" t="str">
        <x:v>每盘1次；消耗1骨头和1次干预；总干预上限2。</x:v>
      </x:c>
      <x:c r="J13" s="3" t="str">
        <x:v>control；reroll；alignment</x:v>
      </x:c>
      <x:c r="K13" s="3" t="str">
        <x:v>比单格重抽影响更大，也更可能失去原有结果。</x:v>
      </x:c>
      <x:c r="L13" s="3" t="str">
        <x:v>Core</x:v>
      </x:c>
    </x:row>
    <x:row r="14" ht="42" customHeight="1">
      <x:c r="A14" s="11" t="str">
        <x:v>R_M10</x:v>
      </x:c>
      <x:c r="B14" s="11" t="str">
        <x:v>守财骨匣</x:v>
      </x:c>
      <x:c r="C14" s="11" t="str">
        <x:v>machine</x:v>
      </x:c>
      <x:c r="D14" s="11" t="str">
        <x:v>common</x:v>
      </x:c>
      <x:c r="E14" s="13" t="n">
        <x:v>12</x:v>
      </x:c>
      <x:c r="F14" s="13" t="n">
        <x:v>1</x:v>
      </x:c>
      <x:c r="G14" s="11" t="str">
        <x:v>支付本波第1次付费追加拉杆费用前</x:v>
      </x:c>
      <x:c r="H14" s="11" t="str">
        <x:v>本波第1次付费追加费用减少1骨头。</x:v>
      </x:c>
      <x:c r="I14" s="11" t="str">
        <x:v>每波1次；最终实付至少1骨头；不影响免费抽、干预费和后续追加价格。</x:v>
      </x:c>
      <x:c r="J14" s="11" t="str">
        <x:v>economy；discount</x:v>
      </x:c>
      <x:c r="K14" s="11" t="str">
        <x:v>占用机器槽以节省资源，不增加改盘能力。</x:v>
      </x:c>
      <x:c r="L14" s="11" t="str">
        <x:v>Core</x:v>
      </x:c>
    </x:row>
    <x:row r="15" ht="42" customHeight="1">
      <x:c r="A15" s="3" t="str">
        <x:v>R_M11</x:v>
      </x:c>
      <x:c r="B15" s="3" t="str">
        <x:v>空棺收据</x:v>
      </x:c>
      <x:c r="C15" s="3" t="str">
        <x:v>machine</x:v>
      </x:c>
      <x:c r="D15" s="3" t="str">
        <x:v>rare</x:v>
      </x:c>
      <x:c r="E15" s="12" t="n">
        <x:v>20</x:v>
      </x:c>
      <x:c r="F15" s="12" t="n">
        <x:v>1</x:v>
      </x:c>
      <x:c r="G15" s="3" t="str">
        <x:v>付费盘面最终确认且0条中奖线时</x:v>
      </x:c>
      <x:c r="H15" s="3" t="str">
        <x:v>返还本盘拉杆费中的1骨头。</x:v>
      </x:c>
      <x:c r="I15" s="3" t="str">
        <x:v>每波最多触发1次；返还不超过实付拉杆费减1；不返还道具或干预费；免费盘不触发。</x:v>
      </x:c>
      <x:c r="J15" s="3" t="str">
        <x:v>economy；miss；insurance</x:v>
      </x:c>
      <x:c r="K15" s="3" t="str">
        <x:v>只减轻空盘损失，不能让失败变为正收益。</x:v>
      </x:c>
      <x:c r="L15" s="3" t="str">
        <x:v>Core</x:v>
      </x:c>
    </x:row>
    <x:row r="16" ht="42" customHeight="1">
      <x:c r="A16" s="11" t="str">
        <x:v>R_M12</x:v>
      </x:c>
      <x:c r="B16" s="11" t="str">
        <x:v>双族整队号</x:v>
      </x:c>
      <x:c r="C16" s="11" t="str">
        <x:v>machine</x:v>
      </x:c>
      <x:c r="D16" s="11" t="str">
        <x:v>common</x:v>
      </x:c>
      <x:c r="E16" s="13" t="n">
        <x:v>12</x:v>
      </x:c>
      <x:c r="F16" s="13" t="n">
        <x:v>1</x:v>
      </x:c>
      <x:c r="G16" s="11" t="str">
        <x:v>最终盘面至少有2个不同家族中奖并完成收兵时</x:v>
      </x:c>
      <x:c r="H16" s="11" t="str">
        <x:v>本波所有永久上阵兵在开战后的前6秒获得15%移动速度加成。</x:v>
      </x:c>
      <x:c r="I16" s="11" t="str">
        <x:v>每波1次；重复触发不叠加、不刷新；不作用于临时召唤物；不改变出兵数量。</x:v>
      </x:c>
      <x:c r="J16" s="11" t="str">
        <x:v>wide；mobility；settlement</x:v>
      </x:c>
      <x:c r="K16" s="11" t="str">
        <x:v>偏好多家族单线结果，不帮助追求同族高阶。</x:v>
      </x:c>
      <x:c r="L16" s="11" t="str">
        <x:v>Core</x:v>
      </x:c>
    </x:row>
    <x:row r="17" ht="42" customHeight="1">
      <x:c r="A17" s="3" t="str">
        <x:v>R_M13</x:v>
      </x:c>
      <x:c r="B17" s="3" t="str">
        <x:v>窄门王冠</x:v>
      </x:c>
      <x:c r="C17" s="3" t="str">
        <x:v>machine</x:v>
      </x:c>
      <x:c r="D17" s="3" t="str">
        <x:v>rare</x:v>
      </x:c>
      <x:c r="E17" s="12" t="n">
        <x:v>20</x:v>
      </x:c>
      <x:c r="F17" s="12" t="n">
        <x:v>1</x:v>
      </x:c>
      <x:c r="G17" s="3" t="str">
        <x:v>某家族最终中奖线数至少2且召出的兵本波上阵时</x:v>
      </x:c>
      <x:c r="H17" s="3" t="str">
        <x:v>该新兵开战时获得15点骨甲，持续6秒。</x:v>
      </x:c>
      <x:c r="I17" s="3" t="str">
        <x:v>每名本波新兵最多1次；每波最多2名；服从骨甲总上限；被献祭的兵不把此效果转移给接受者。</x:v>
      </x:c>
      <x:c r="J17" s="3" t="str">
        <x:v>narrow；shield；settlement</x:v>
      </x:c>
      <x:c r="K17" s="3" t="str">
        <x:v>保护抽到的高阶新兵，不能当作可以继承的永久属性。</x:v>
      </x:c>
      <x:c r="L17" s="3" t="str">
        <x:v>Core</x:v>
      </x:c>
    </x:row>
    <x:row r="18" ht="42" customHeight="1">
      <x:c r="A18" s="11" t="str">
        <x:v>R_M14</x:v>
      </x:c>
      <x:c r="B18" s="11" t="str">
        <x:v>白骨教鞭</x:v>
      </x:c>
      <x:c r="C18" s="11" t="str">
        <x:v>machine</x:v>
      </x:c>
      <x:c r="D18" s="11" t="str">
        <x:v>rare</x:v>
      </x:c>
      <x:c r="E18" s="13" t="n">
        <x:v>20</x:v>
      </x:c>
      <x:c r="F18" s="13" t="n">
        <x:v>1</x:v>
      </x:c>
      <x:c r="G18" s="11" t="str">
        <x:v>最终收兵结果的出生阶级为R1时</x:v>
      </x:c>
      <x:c r="H18" s="11" t="str">
        <x:v>该兵出生训练等级改为Lv2。</x:v>
      </x:c>
      <x:c r="I18" s="11" t="str">
        <x:v>只作用于最终仍为R1的兵；不改变出生阶级或分支；累计经验写为Lv2门槛6，不重复再加6。</x:v>
      </x:c>
      <x:c r="J18" s="11" t="str">
        <x:v>training；wide；settlement</x:v>
      </x:c>
      <x:c r="K18" s="11" t="str">
        <x:v>提高低阶兵的即战力和培养价值，但占用一个概率控制槽。</x:v>
      </x:c>
      <x:c r="L18" s="11" t="str">
        <x:v>Core</x:v>
      </x:c>
    </x:row>
    <x:row r="19" ht="42" customHeight="1">
      <x:c r="A19" s="3" t="str">
        <x:v>R_M15</x:v>
      </x:c>
      <x:c r="B19" s="3" t="str">
        <x:v>空盘魂帷</x:v>
      </x:c>
      <x:c r="C19" s="3" t="str">
        <x:v>machine</x:v>
      </x:c>
      <x:c r="D19" s="3" t="str">
        <x:v>common</x:v>
      </x:c>
      <x:c r="E19" s="12" t="n">
        <x:v>12</x:v>
      </x:c>
      <x:c r="F19" s="12" t="n">
        <x:v>1</x:v>
      </x:c>
      <x:c r="G19" s="3" t="str">
        <x:v>任意盘面最终确认且没有家族中奖时</x:v>
      </x:c>
      <x:c r="H19" s="3" t="str">
        <x:v>命匣获得本波专用的6点防线屏障，用于吸收敌人突破伤害。</x:v>
      </x:c>
      <x:c r="I19" s="3" t="str">
        <x:v>每波仅1份，不叠加；波后消失；不能恢复命匣生命；不是单位骨甲，不发SHIELD_GAIN或SHIELD_BREAK。</x:v>
      </x:c>
      <x:c r="J19" s="3" t="str">
        <x:v>miss；insurance；defense</x:v>
      </x:c>
      <x:c r="K19" s="3" t="str">
        <x:v>能缓冲坏运气，但没有新增士兵或永久成长。</x:v>
      </x:c>
      <x:c r="L19" s="3" t="str">
        <x:v>Core</x:v>
      </x:c>
    </x:row>
    <x:row r="20" ht="42" customHeight="1">
      <x:c r="A20" s="11" t="str">
        <x:v>R_M16</x:v>
      </x:c>
      <x:c r="B20" s="11" t="str">
        <x:v>三线战铭</x:v>
      </x:c>
      <x:c r="C20" s="11" t="str">
        <x:v>machine</x:v>
      </x:c>
      <x:c r="D20" s="11" t="str">
        <x:v>rare</x:v>
      </x:c>
      <x:c r="E20" s="13" t="n">
        <x:v>20</x:v>
      </x:c>
      <x:c r="F20" s="13" t="n">
        <x:v>2</x:v>
      </x:c>
      <x:c r="G20" s="11" t="str">
        <x:v>某家族最终至少3条线且新兵本波上阵时</x:v>
      </x:c>
      <x:c r="H20" s="11" t="str">
        <x:v>该新兵本波造成的伤害提高15%。</x:v>
      </x:c>
      <x:c r="I20" s="11" t="str">
        <x:v>每名新兵最多1次；不永久保存，不通过献祭转移；不改变召唤物伤害；伤害倍率不另发伤害事件。</x:v>
      </x:c>
      <x:c r="J20" s="11" t="str">
        <x:v>narrow；damage；settlement</x:v>
      </x:c>
      <x:c r="K20" s="11" t="str">
        <x:v>奖励高阶结果的当波投入，留在后备时本波收益消失。</x:v>
      </x:c>
      <x:c r="L20" s="11" t="str">
        <x:v>Core</x:v>
      </x:c>
    </x:row>
    <x:row r="21" ht="42" customHeight="1">
      <x:c r="A21" s="3" t="str">
        <x:v>R_M17</x:v>
      </x:c>
      <x:c r="B21" s="3" t="str">
        <x:v>偏心配重</x:v>
      </x:c>
      <x:c r="C21" s="3" t="str">
        <x:v>machine</x:v>
      </x:c>
      <x:c r="D21" s="3" t="str">
        <x:v>legendary</x:v>
      </x:c>
      <x:c r="E21" s="12" t="n">
        <x:v>32</x:v>
      </x:c>
      <x:c r="F21" s="12" t="n">
        <x:v>2</x:v>
      </x:c>
      <x:c r="G21" s="3" t="str">
        <x:v>进入节点并锁定机器配置时</x:v>
      </x:c>
      <x:c r="H21" s="3" t="str">
        <x:v>本节点临时把1个已装家族的2份权重转给另1个已装家族，节点结束还原。</x:v>
      </x:c>
      <x:c r="I21" s="3" t="str">
        <x:v>每节点1次；只能在首次拉杆前设置；操作后仍是4家族、各2至10份、总20份；与永久改造分开记录。</x:v>
      </x:c>
      <x:c r="J21" s="3" t="str">
        <x:v>probability；narrow；planning</x:v>
      </x:c>
      <x:c r="K21" s="3" t="str">
        <x:v>可以偏向当前构筑，但会减少另一家族的供应；节点内不能来回改。</x:v>
      </x:c>
      <x:c r="L21" s="3" t="str">
        <x:v>Core</x:v>
      </x:c>
    </x:row>
    <x:row r="22" ht="42" customHeight="1">
      <x:c r="A22" s="11" t="str">
        <x:v>R_M18</x:v>
      </x:c>
      <x:c r="B22" s="11" t="str">
        <x:v>第二钱斗</x:v>
      </x:c>
      <x:c r="C22" s="11" t="str">
        <x:v>machine</x:v>
      </x:c>
      <x:c r="D22" s="11" t="str">
        <x:v>legendary</x:v>
      </x:c>
      <x:c r="E22" s="13" t="n">
        <x:v>32</x:v>
      </x:c>
      <x:c r="F22" s="13" t="n">
        <x:v>2</x:v>
      </x:c>
      <x:c r="G22" s="11" t="str">
        <x:v>节点开始时确定本波付费追加上限</x:v>
      </x:c>
      <x:c r="H22" s="11" t="str">
        <x:v>本波允许第4和第5次付费追加，基础价格分别为11和14骨头。</x:v>
      </x:c>
      <x:c r="I22" s="11" t="str">
        <x:v>所有来源合计最多5次付费追加；不赠送免费次数，不改变前3次3/5/8价格；未用额度波后作废。</x:v>
      </x:c>
      <x:c r="J22" s="11" t="str">
        <x:v>economy；extra_pull；gamble</x:v>
      </x:c>
      <x:c r="K22" s="11" t="str">
        <x:v>可以追大奖，但会挤占后续商店与命匣恢复预算。</x:v>
      </x:c>
      <x:c r="L22" s="11" t="str">
        <x:v>Core</x:v>
      </x:c>
    </x:row>
    <x:row r="23" ht="42" customHeight="1">
      <x:c r="A23" s="3" t="str">
        <x:v>R_A01</x:v>
      </x:c>
      <x:c r="B23" s="3" t="str">
        <x:v>碎骨祭杯</x:v>
      </x:c>
      <x:c r="C23" s="3" t="str">
        <x:v>army</x:v>
      </x:c>
      <x:c r="D23" s="3" t="str">
        <x:v>common</x:v>
      </x:c>
      <x:c r="E23" s="12" t="n">
        <x:v>12</x:v>
      </x:c>
      <x:c r="F23" s="12" t="n">
        <x:v>1</x:v>
      </x:c>
      <x:c r="G23" s="3" t="str">
        <x:v>ALLY_KO</x:v>
      </x:c>
      <x:c r="H23" s="3" t="str">
        <x:v>每累计2次友军被击倒，为场上生命比例最低的存活友军恢复4生命。</x:v>
      </x:c>
      <x:c r="I23" s="3" t="str">
        <x:v>每波最多6次；全队共享1秒冷却；0有效治疗不发EFFECTIVE_HEAL；管理献祭不计数。</x:v>
      </x:c>
      <x:c r="J23" s="3" t="str">
        <x:v>death；heal；summon</x:v>
      </x:c>
      <x:c r="K23" s="3" t="str">
        <x:v>需要发生战损，治疗量有限，不能代替前排。</x:v>
      </x:c>
      <x:c r="L23" s="3" t="str">
        <x:v>Core</x:v>
      </x:c>
    </x:row>
    <x:row r="24" ht="42" customHeight="1">
      <x:c r="A24" s="11" t="str">
        <x:v>R_A02</x:v>
      </x:c>
      <x:c r="B24" s="11" t="str">
        <x:v>死者摇铃</x:v>
      </x:c>
      <x:c r="C24" s="11" t="str">
        <x:v>army</x:v>
      </x:c>
      <x:c r="D24" s="11" t="str">
        <x:v>common</x:v>
      </x:c>
      <x:c r="E24" s="13" t="n">
        <x:v>12</x:v>
      </x:c>
      <x:c r="F24" s="13" t="n">
        <x:v>1</x:v>
      </x:c>
      <x:c r="G24" s="11" t="str">
        <x:v>SUMMON</x:v>
      </x:c>
      <x:c r="H24" s="11" t="str">
        <x:v>新出现的临时召唤物获得1层HASTE，持续4秒。</x:v>
      </x:c>
      <x:c r="I24" s="11" t="str">
        <x:v>每波最多6个召唤物；全队共享0.5秒冷却；不作用于老虎机收兵或波后复起。</x:v>
      </x:c>
      <x:c r="J24" s="11" t="str">
        <x:v>summon；haste</x:v>
      </x:c>
      <x:c r="K24" s="11" t="str">
        <x:v>没有战内召唤者时完全无效。</x:v>
      </x:c>
      <x:c r="L24" s="11" t="str">
        <x:v>Core</x:v>
      </x:c>
    </x:row>
    <x:row r="25" ht="42" customHeight="1">
      <x:c r="A25" s="3" t="str">
        <x:v>R_A03</x:v>
      </x:c>
      <x:c r="B25" s="3" t="str">
        <x:v>墓园口粮</x:v>
      </x:c>
      <x:c r="C25" s="3" t="str">
        <x:v>army</x:v>
      </x:c>
      <x:c r="D25" s="3" t="str">
        <x:v>common</x:v>
      </x:c>
      <x:c r="E25" s="12" t="n">
        <x:v>12</x:v>
      </x:c>
      <x:c r="F25" s="12" t="n">
        <x:v>1</x:v>
      </x:c>
      <x:c r="G25" s="3" t="str">
        <x:v>CORPSE_CONSUME</x:v>
      </x:c>
      <x:c r="H25" s="3" t="str">
        <x:v>成功消耗尸骸的我方单位恢复6生命。</x:v>
      </x:c>
      <x:c r="I25" s="3" t="str">
        <x:v>每单位1秒冷却，全队每波最多8次；法师或无单位来源的消耗不触发；同一尸骸只能消耗一次。</x:v>
      </x:c>
      <x:c r="J25" s="3" t="str">
        <x:v>corpse；heal</x:v>
      </x:c>
      <x:c r="K25" s="3" t="str">
        <x:v>会让尸骸消耗者争夺资源，无法凭空生成尸骸。</x:v>
      </x:c>
      <x:c r="L25" s="3" t="str">
        <x:v>Core</x:v>
      </x:c>
    </x:row>
    <x:row r="26" ht="42" customHeight="1">
      <x:c r="A26" s="11" t="str">
        <x:v>R_A04</x:v>
      </x:c>
      <x:c r="B26" s="11" t="str">
        <x:v>瘟疫银针</x:v>
      </x:c>
      <x:c r="C26" s="11" t="str">
        <x:v>army</x:v>
      </x:c>
      <x:c r="D26" s="11" t="str">
        <x:v>rare</x:v>
      </x:c>
      <x:c r="E26" s="13" t="n">
        <x:v>20</x:v>
      </x:c>
      <x:c r="F26" s="13" t="n">
        <x:v>1</x:v>
      </x:c>
      <x:c r="G26" s="11" t="str">
        <x:v>BASIC_HIT</x:v>
      </x:c>
      <x:c r="H26" s="11" t="str">
        <x:v>每个我方永久单位每第3次普通命中给目标附加1层POISON，持续4秒。</x:v>
      </x:c>
      <x:c r="I26" s="11" t="str">
        <x:v>同单位1秒冷却、每波最多8次；能力伤害和连锁伤害不累计；只有实际命中才累计。</x:v>
      </x:c>
      <x:c r="J26" s="11" t="str">
        <x:v>poison；hit</x:v>
      </x:c>
      <x:c r="K26" s="11" t="str">
        <x:v>偏好高频普攻，对短战斗或低攻频单位收益低。</x:v>
      </x:c>
      <x:c r="L26" s="11" t="str">
        <x:v>Core</x:v>
      </x:c>
    </x:row>
    <x:row r="27" ht="42" customHeight="1">
      <x:c r="A27" s="3" t="str">
        <x:v>R_A05</x:v>
      </x:c>
      <x:c r="B27" s="3" t="str">
        <x:v>感染骨笛</x:v>
      </x:c>
      <x:c r="C27" s="3" t="str">
        <x:v>army</x:v>
      </x:c>
      <x:c r="D27" s="3" t="str">
        <x:v>rare</x:v>
      </x:c>
      <x:c r="E27" s="12" t="n">
        <x:v>20</x:v>
      </x:c>
      <x:c r="F27" s="12" t="n">
        <x:v>1</x:v>
      </x:c>
      <x:c r="G27" s="3" t="str">
        <x:v>POISON_TICK</x:v>
      </x:c>
      <x:c r="H27" s="3" t="str">
        <x:v>敌人每承受3次毒跳，向3米内最近1名未中毒敌人传播1层POISON，持续4秒。</x:v>
      </x:c>
      <x:c r="I27" s="3" t="str">
        <x:v>全队每波最多4次，共享2秒冷却；每目标按毒跳事件计数而非毒层；没有合法目标则不传播。</x:v>
      </x:c>
      <x:c r="J27" s="3" t="str">
        <x:v>poison；spread</x:v>
      </x:c>
      <x:c r="K27" s="3" t="str">
        <x:v>密集敌群更有效，对单个首领没有传播收益。</x:v>
      </x:c>
      <x:c r="L27" s="3" t="str">
        <x:v>Core</x:v>
      </x:c>
    </x:row>
    <x:row r="28" ht="42" customHeight="1">
      <x:c r="A28" s="11" t="str">
        <x:v>R_A06</x:v>
      </x:c>
      <x:c r="B28" s="11" t="str">
        <x:v>腐血绷带</x:v>
      </x:c>
      <x:c r="C28" s="11" t="str">
        <x:v>army</x:v>
      </x:c>
      <x:c r="D28" s="11" t="str">
        <x:v>common</x:v>
      </x:c>
      <x:c r="E28" s="13" t="n">
        <x:v>12</x:v>
      </x:c>
      <x:c r="F28" s="13" t="n">
        <x:v>1</x:v>
      </x:c>
      <x:c r="G28" s="11" t="str">
        <x:v>EFFECTIVE_HEAL</x:v>
      </x:c>
      <x:c r="H28" s="11" t="str">
        <x:v>受治疗友军移除1层POISON。</x:v>
      </x:c>
      <x:c r="I28" s="11" t="str">
        <x:v>同单位2秒冷却、每波最多6次；需实际恢复生命；不消除其他状态。</x:v>
      </x:c>
      <x:c r="J28" s="11" t="str">
        <x:v>heal；cleanse</x:v>
      </x:c>
      <x:c r="K28" s="11" t="str">
        <x:v>对不施毒的敌人没有额外收益。</x:v>
      </x:c>
      <x:c r="L28" s="11" t="str">
        <x:v>Core</x:v>
      </x:c>
    </x:row>
    <x:row r="29" ht="42" customHeight="1">
      <x:c r="A29" s="3" t="str">
        <x:v>R_A07</x:v>
      </x:c>
      <x:c r="B29" s="3" t="str">
        <x:v>骨甲缝线</x:v>
      </x:c>
      <x:c r="C29" s="3" t="str">
        <x:v>army</x:v>
      </x:c>
      <x:c r="D29" s="3" t="str">
        <x:v>rare</x:v>
      </x:c>
      <x:c r="E29" s="12" t="n">
        <x:v>20</x:v>
      </x:c>
      <x:c r="F29" s="12" t="n">
        <x:v>1</x:v>
      </x:c>
      <x:c r="G29" s="3" t="str">
        <x:v>SHIELD_BREAK</x:v>
      </x:c>
      <x:c r="H29" s="3" t="str">
        <x:v>骨甲被伤害击碎的友军恢复4生命。</x:v>
      </x:c>
      <x:c r="I29" s="3" t="str">
        <x:v>同单位3秒冷却、每波最多3次；自然到期、被替换或波后清理不触发。</x:v>
      </x:c>
      <x:c r="J29" s="3" t="str">
        <x:v>shield；heal</x:v>
      </x:c>
      <x:c r="K29" s="3" t="str">
        <x:v>必须真的被打破骨甲，不能靠反复刷新骨甲刷治疗。</x:v>
      </x:c>
      <x:c r="L29" s="3" t="str">
        <x:v>Core</x:v>
      </x:c>
    </x:row>
    <x:row r="30" ht="42" customHeight="1">
      <x:c r="A30" s="11" t="str">
        <x:v>R_A08</x:v>
      </x:c>
      <x:c r="B30" s="11" t="str">
        <x:v>石墓铭牌</x:v>
      </x:c>
      <x:c r="C30" s="11" t="str">
        <x:v>army</x:v>
      </x:c>
      <x:c r="D30" s="11" t="str">
        <x:v>common</x:v>
      </x:c>
      <x:c r="E30" s="13" t="n">
        <x:v>12</x:v>
      </x:c>
      <x:c r="F30" s="13" t="n">
        <x:v>1</x:v>
      </x:c>
      <x:c r="G30" s="11" t="str">
        <x:v>计算友军新获得骨甲的请求量时</x:v>
      </x:c>
      <x:c r="H30" s="11" t="str">
        <x:v>新获得的骨甲数值提高20%。</x:v>
      </x:c>
      <x:c r="I30" s="11" t="str">
        <x:v>在SHIELD_GAIN发出之前计算一次；仍服从总骨甲不超过最大HP60%；不延长持续时间。</x:v>
      </x:c>
      <x:c r="J30" s="11" t="str">
        <x:v>shield；defense</x:v>
      </x:c>
      <x:c r="K30" s="11" t="str">
        <x:v>高骨甲队更有效；碰到上限的部分浪费。</x:v>
      </x:c>
      <x:c r="L30" s="11" t="str">
        <x:v>Core</x:v>
      </x:c>
    </x:row>
    <x:row r="31" ht="42" customHeight="1">
      <x:c r="A31" s="3" t="str">
        <x:v>R_A09</x:v>
      </x:c>
      <x:c r="B31" s="3" t="str">
        <x:v>苦修齿冠</x:v>
      </x:c>
      <x:c r="C31" s="3" t="str">
        <x:v>army</x:v>
      </x:c>
      <x:c r="D31" s="3" t="str">
        <x:v>rare</x:v>
      </x:c>
      <x:c r="E31" s="12" t="n">
        <x:v>20</x:v>
      </x:c>
      <x:c r="F31" s="12" t="n">
        <x:v>1</x:v>
      </x:c>
      <x:c r="G31" s="3" t="str">
        <x:v>DAMAGE_TAKEN</x:v>
      </x:c>
      <x:c r="H31" s="3" t="str">
        <x:v>每个永久兵每累计受到10点敌方造成的实际生命伤害，获得3点骨甲，持续4秒。</x:v>
      </x:c>
      <x:c r="I31" s="3" t="str">
        <x:v>同单位2秒冷却、每波最多4次；只计损HP，不计纯骨甲吸收、自伤、友伤或命匣损伤。</x:v>
      </x:c>
      <x:c r="J31" s="3" t="str">
        <x:v>hurt；shield</x:v>
      </x:c>
      <x:c r="K31" s="3" t="str">
        <x:v>需要先承受真实战损，不能抵挡第一次爆发。</x:v>
      </x:c>
      <x:c r="L31" s="3" t="str">
        <x:v>Core</x:v>
      </x:c>
    </x:row>
    <x:row r="32" ht="42" customHeight="1">
      <x:c r="A32" s="11" t="str">
        <x:v>R_A10</x:v>
      </x:c>
      <x:c r="B32" s="11" t="str">
        <x:v>锈链套环</x:v>
      </x:c>
      <x:c r="C32" s="11" t="str">
        <x:v>army</x:v>
      </x:c>
      <x:c r="D32" s="11" t="str">
        <x:v>rare</x:v>
      </x:c>
      <x:c r="E32" s="13" t="n">
        <x:v>20</x:v>
      </x:c>
      <x:c r="F32" s="13" t="n">
        <x:v>1</x:v>
      </x:c>
      <x:c r="G32" s="11" t="str">
        <x:v>TAUNT</x:v>
      </x:c>
      <x:c r="H32" s="11" t="str">
        <x:v>被我方嘲讽的敌人同时获得5层EXPOSED，持续4秒（每层减3护甲，共减15）。</x:v>
      </x:c>
      <x:c r="I32" s="11" t="str">
        <x:v>同一敌人4秒冷却、每波最多3次；刷新同一次嘲讽不再次触发。</x:v>
      </x:c>
      <x:c r="J32" s="11" t="str">
        <x:v>taunt；physical；armor_break</x:v>
      </x:c>
      <x:c r="K32" s="11" t="str">
        <x:v>帮助物理队，对以法术为主的队伍价值较低。</x:v>
      </x:c>
      <x:c r="L32" s="11" t="str">
        <x:v>Core</x:v>
      </x:c>
    </x:row>
    <x:row r="33" ht="42" customHeight="1">
      <x:c r="A33" s="3" t="str">
        <x:v>R_A11</x:v>
      </x:c>
      <x:c r="B33" s="3" t="str">
        <x:v>冥骑马刺</x:v>
      </x:c>
      <x:c r="C33" s="3" t="str">
        <x:v>army</x:v>
      </x:c>
      <x:c r="D33" s="3" t="str">
        <x:v>rare</x:v>
      </x:c>
      <x:c r="E33" s="12" t="n">
        <x:v>20</x:v>
      </x:c>
      <x:c r="F33" s="12" t="n">
        <x:v>1</x:v>
      </x:c>
      <x:c r="G33" s="3" t="str">
        <x:v>DASH_END</x:v>
      </x:c>
      <x:c r="H33" s="3" t="str">
        <x:v>我方冲锋结束时，对落点1.5米内敌人造成6点物理伤害。</x:v>
      </x:c>
      <x:c r="I33" s="3" t="str">
        <x:v>同单位3秒冷却、每波最多4次；不是普通攻击、不能暴击；正常走路或被击退不触发。</x:v>
      </x:c>
      <x:c r="J33" s="3" t="str">
        <x:v>dash；physical；area</x:v>
      </x:c>
      <x:c r="K33" s="3" t="str">
        <x:v>需要真正能冲锋的兵种，密集或背后目标更有价值。</x:v>
      </x:c>
      <x:c r="L33" s="3" t="str">
        <x:v>Core</x:v>
      </x:c>
    </x:row>
    <x:row r="34" ht="42" customHeight="1">
      <x:c r="A34" s="11" t="str">
        <x:v>R_A12</x:v>
      </x:c>
      <x:c r="B34" s="11" t="str">
        <x:v>掘墓靴</x:v>
      </x:c>
      <x:c r="C34" s="11" t="str">
        <x:v>army</x:v>
      </x:c>
      <x:c r="D34" s="11" t="str">
        <x:v>common</x:v>
      </x:c>
      <x:c r="E34" s="13" t="n">
        <x:v>12</x:v>
      </x:c>
      <x:c r="F34" s="13" t="n">
        <x:v>1</x:v>
      </x:c>
      <x:c r="G34" s="11" t="str">
        <x:v>ENEMY_KO</x:v>
      </x:c>
      <x:c r="H34" s="11" t="str">
        <x:v>击倒敌人的我方单位获得1层HASTE，持续4秒。</x:v>
      </x:c>
      <x:c r="I34" s="11" t="str">
        <x:v>同单位2秒冷却、每波最多4次；无单位归属的击杀不触发；同源仅刷新。</x:v>
      </x:c>
      <x:c r="J34" s="11" t="str">
        <x:v>kill；haste；carry</x:v>
      </x:c>
      <x:c r="K34" s="11" t="str">
        <x:v>偏向负责终结敌人的单位，首领孤身战收益较低。</x:v>
      </x:c>
      <x:c r="L34" s="11" t="str">
        <x:v>Core</x:v>
      </x:c>
    </x:row>
    <x:row r="35" ht="42" customHeight="1">
      <x:c r="A35" s="3" t="str">
        <x:v>R_A13</x:v>
      </x:c>
      <x:c r="B35" s="3" t="str">
        <x:v>断指暴轮</x:v>
      </x:c>
      <x:c r="C35" s="3" t="str">
        <x:v>army</x:v>
      </x:c>
      <x:c r="D35" s="3" t="str">
        <x:v>rare</x:v>
      </x:c>
      <x:c r="E35" s="12" t="n">
        <x:v>20</x:v>
      </x:c>
      <x:c r="F35" s="12" t="n">
        <x:v>1</x:v>
      </x:c>
      <x:c r="G35" s="3" t="str">
        <x:v>DIRECT_CRIT</x:v>
      </x:c>
      <x:c r="H35" s="3" t="str">
        <x:v>造成直接暴击的我方永久兵恢复自身最大生命的2%。</x:v>
      </x:c>
      <x:c r="I35" s="3" t="str">
        <x:v>同单位0.75秒冷却、每波最多6次；满血无EFFECTIVE_HEAL；毒跳、反伤、能力伤害默认不暴击。</x:v>
      </x:c>
      <x:c r="J35" s="3" t="str">
        <x:v>crit；heal；carry</x:v>
      </x:c>
      <x:c r="K35" s="3" t="str">
        <x:v>需要暴击与受伤同时存在，纯后排满血时收益低。</x:v>
      </x:c>
      <x:c r="L35" s="3" t="str">
        <x:v>Core</x:v>
      </x:c>
    </x:row>
    <x:row r="36" ht="42" customHeight="1">
      <x:c r="A36" s="11" t="str">
        <x:v>R_A14</x:v>
      </x:c>
      <x:c r="B36" s="11" t="str">
        <x:v>送葬棺钉</x:v>
      </x:c>
      <x:c r="C36" s="11" t="str">
        <x:v>army</x:v>
      </x:c>
      <x:c r="D36" s="11" t="str">
        <x:v>legendary</x:v>
      </x:c>
      <x:c r="E36" s="13" t="n">
        <x:v>32</x:v>
      </x:c>
      <x:c r="F36" s="13" t="n">
        <x:v>1</x:v>
      </x:c>
      <x:c r="G36" s="11" t="str">
        <x:v>ALLY_KO</x:v>
      </x:c>
      <x:c r="H36" s="11" t="str">
        <x:v>友军被击倒时，对其1.8米内敌人造成4点法术伤害。</x:v>
      </x:c>
      <x:c r="I36" s="11" t="str">
        <x:v>全队共享1秒冷却、每波最多6次；临时召唤物可触发，管理献祭不触发；不额外制造尸骸。</x:v>
      </x:c>
      <x:c r="J36" s="11" t="str">
        <x:v>death；magic；area</x:v>
      </x:c>
      <x:c r="K36" s="11" t="str">
        <x:v>能利用牺牲，但无法通过无限召唤无限爆炸。</x:v>
      </x:c>
      <x:c r="L36" s="11" t="str">
        <x:v>Core</x:v>
      </x:c>
    </x:row>
    <x:row r="37" ht="57" customHeight="1">
      <x:c r="A37" s="3" t="str">
        <x:v>R_A15</x:v>
      </x:c>
      <x:c r="B37" s="3" t="str">
        <x:v>守灵烛盏</x:v>
      </x:c>
      <x:c r="C37" s="3" t="str">
        <x:v>army</x:v>
      </x:c>
      <x:c r="D37" s="3" t="str">
        <x:v>rare</x:v>
      </x:c>
      <x:c r="E37" s="12" t="n">
        <x:v>20</x:v>
      </x:c>
      <x:c r="F37" s="12" t="n">
        <x:v>1</x:v>
      </x:c>
      <x:c r="G37" s="3" t="str">
        <x:v>EFFECTIVE_HEAL</x:v>
      </x:c>
      <x:c r="H37" s="3" t="str">
        <x:v>每个我方单位每累计3次有效治疗，获得4点骨甲，持续4秒。</x:v>
      </x:c>
      <x:c r="I37" s="3" t="str">
        <x:v>同单位2秒冷却、每波最多4次；按治疗事件次数而非治疗量计数；0回复不计；全体治疗对每个受疗者各计一次。</x:v>
      </x:c>
      <x:c r="J37" s="3" t="str">
        <x:v>heal；shield</x:v>
      </x:c>
      <x:c r="K37" s="3" t="str">
        <x:v>偏好多次小治疗；有内部冷却和次数限制，不能形成无限互触发。</x:v>
      </x:c>
      <x:c r="L37" s="3" t="str">
        <x:v>Core</x:v>
      </x:c>
    </x:row>
    <x:row r="38" ht="42" customHeight="1">
      <x:c r="A38" s="11" t="str">
        <x:v>R_A16</x:v>
      </x:c>
      <x:c r="B38" s="11" t="str">
        <x:v>冻墓银铃</x:v>
      </x:c>
      <x:c r="C38" s="11" t="str">
        <x:v>army</x:v>
      </x:c>
      <x:c r="D38" s="11" t="str">
        <x:v>rare</x:v>
      </x:c>
      <x:c r="E38" s="13" t="n">
        <x:v>20</x:v>
      </x:c>
      <x:c r="F38" s="13" t="n">
        <x:v>2</x:v>
      </x:c>
      <x:c r="G38" s="11" t="str">
        <x:v>BASIC_HIT</x:v>
      </x:c>
      <x:c r="H38" s="11" t="str">
        <x:v>普通攻击命中带CHILL或FROZEN的敌人时，附加2点法术伤害。</x:v>
      </x:c>
      <x:c r="I38" s="11" t="str">
        <x:v>同攻击者0.5秒冷却、每波最多10次；附伤不生成BASIC_HIT或DIRECT_CRIT。</x:v>
      </x:c>
      <x:c r="J38" s="11" t="str">
        <x:v>chill；hit；magic</x:v>
      </x:c>
      <x:c r="K38" s="11" t="str">
        <x:v>依赖稳定的寒冷来源，单独持有不提高伤害。</x:v>
      </x:c>
      <x:c r="L38" s="11" t="str">
        <x:v>Core</x:v>
      </x:c>
    </x:row>
    <x:row r="39" ht="57" customHeight="1">
      <x:c r="A39" s="3" t="str">
        <x:v>R_A17</x:v>
      </x:c>
      <x:c r="B39" s="3" t="str">
        <x:v>雷髓导管</x:v>
      </x:c>
      <x:c r="C39" s="3" t="str">
        <x:v>army</x:v>
      </x:c>
      <x:c r="D39" s="3" t="str">
        <x:v>legendary</x:v>
      </x:c>
      <x:c r="E39" s="12" t="n">
        <x:v>32</x:v>
      </x:c>
      <x:c r="F39" s="12" t="n">
        <x:v>2</x:v>
      </x:c>
      <x:c r="G39" s="3" t="str">
        <x:v>BASIC_HIT</x:v>
      </x:c>
      <x:c r="H39" s="3" t="str">
        <x:v>普通攻击命中WET敌人后，给该目标施加1层SHOCK。</x:v>
      </x:c>
      <x:c r="I39" s="3" t="str">
        <x:v>同攻击者3秒冷却、每波最多3次；先结算这次命中已有的状态，再施加SHOCK，本次新SHOCK不被同一击消费。</x:v>
      </x:c>
      <x:c r="J39" s="3" t="str">
        <x:v>wet；shock；hit</x:v>
      </x:c>
      <x:c r="K39" s="3" t="str">
        <x:v>需要潮湿来源和后续攻击接续，不能自我无限传导。</x:v>
      </x:c>
      <x:c r="L39" s="3" t="str">
        <x:v>Core</x:v>
      </x:c>
    </x:row>
    <x:row r="40" ht="72" customHeight="1">
      <x:c r="A40" s="11" t="str">
        <x:v>R_A18</x:v>
      </x:c>
      <x:c r="B40" s="11" t="str">
        <x:v>末日军旗</x:v>
      </x:c>
      <x:c r="C40" s="11" t="str">
        <x:v>army</x:v>
      </x:c>
      <x:c r="D40" s="11" t="str">
        <x:v>legendary</x:v>
      </x:c>
      <x:c r="E40" s="13" t="n">
        <x:v>32</x:v>
      </x:c>
      <x:c r="F40" s="13" t="n">
        <x:v>1</x:v>
      </x:c>
      <x:c r="G40" s="11" t="str">
        <x:v>ALLY_KO，且被击倒者是永久上阵兵</x:v>
      </x:c>
      <x:c r="H40" s="11" t="str">
        <x:v>在被击倒者原地召出1个临时亡灵残影，持续6秒。HP为原兵本波最大HP的20%，攻击为原兵当前攻击的30%；固定攻速0.8次/秒、移速2米/秒、射程1.2米、物理普攻；护甲、暴击率、格挡率、再生、吸血均为0，暴击倍率1.5。</x:v>
      </x:c>
      <x:c r="I40" s="11" t="str">
        <x:v>每波最多2次；残影只普通攻击、不复制技能、不留尸骸；计入临时召唤上限12并发SUMMON；已达上限时本次机会仍消耗，不排队补发。</x:v>
      </x:c>
      <x:c r="J40" s="11" t="str">
        <x:v>death；summon；defense</x:v>
      </x:c>
      <x:c r="K40" s="11" t="str">
        <x:v>能补短暂空缺，但不能替代永久前排或复制高阶整套技能。</x:v>
      </x:c>
      <x:c r="L40" s="11" t="str">
        <x:v>Core</x:v>
      </x:c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a80c91767a0a4375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109999656677246" hidden="0" customWidth="1"/>
    <x:col min="2" max="2" width="20" hidden="0" customWidth="1"/>
    <x:col min="3" max="3" width="12.220000267028809" hidden="0" customWidth="1"/>
    <x:col min="4" max="4" width="18.889999389648438" hidden="0" customWidth="1"/>
    <x:col min="5" max="5" width="48.88999938964844" hidden="0" customWidth="1"/>
    <x:col min="6" max="6" width="43.33000183105469" hidden="0" customWidth="1"/>
    <x:col min="7" max="7" width="20" hidden="0" customWidth="1"/>
    <x:col min="8" max="8" width="12.22000026702880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30" customHeight="1">
      <x:c r="A2" s="5" t="str">
        <x:v>消耗品时点与限制</x:v>
      </x:c>
      <x:c r="B2" s="4"/>
      <x:c r="C2" s="4"/>
      <x:c r="D2" s="4"/>
      <x:c r="E2" s="4"/>
      <x:c r="F2" s="4"/>
      <x:c r="G2" s="4"/>
      <x:c r="H2" s="4"/>
    </x:row>
    <x:row r="3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道具ID</x:v>
      </x:c>
      <x:c r="B4" s="10" t="str">
        <x:v>名称</x:v>
      </x:c>
      <x:c r="C4" s="10" t="str">
        <x:v>价格骨头</x:v>
      </x:c>
      <x:c r="D4" s="10" t="str">
        <x:v>使用阶段</x:v>
      </x:c>
      <x:c r="E4" s="10" t="str">
        <x:v>效果</x:v>
      </x:c>
      <x:c r="F4" s="10" t="str">
        <x:v>限制</x:v>
      </x:c>
      <x:c r="G4" s="10" t="str">
        <x:v>标签</x:v>
      </x:c>
      <x:c r="H4" s="10" t="str">
        <x:v>实现阶段</x:v>
      </x:c>
    </x:row>
    <x:row r="5" ht="42" customHeight="1">
      <x:c r="A5" s="3" t="str">
        <x:v>I01</x:v>
      </x:c>
      <x:c r="B5" s="3" t="str">
        <x:v>限定家族引魂券</x:v>
      </x:c>
      <x:c r="C5" s="12" t="n">
        <x:v>6</x:v>
      </x:c>
      <x:c r="D5" s="3" t="str">
        <x:v>拉杆前</x:v>
      </x:c>
      <x:c r="E5" s="3" t="str">
        <x:v>选择当前轮盘的1个家族；本盘最终该族若恰好1条中奖线，其唯一结果由R1提升为R2 Lv1；0线无效，2线及以上按原规则。</x:v>
      </x:c>
      <x:c r="F5" s="3" t="str">
        <x:v>每盘最多1张，拉杆开始即消耗且不退；不创造中奖线、不保证出现、不增加兵数；与R_M14按最终R判断。</x:v>
      </x:c>
      <x:c r="G5" s="3" t="str">
        <x:v>slot；family；rank</x:v>
      </x:c>
      <x:c r="H5" s="3" t="str">
        <x:v>Core</x:v>
      </x:c>
    </x:row>
    <x:row r="6" ht="42" customHeight="1">
      <x:c r="A6" s="11" t="str">
        <x:v>I02</x:v>
      </x:c>
      <x:c r="B6" s="11" t="str">
        <x:v>上油骨脂</x:v>
      </x:c>
      <x:c r="C6" s="13" t="n">
        <x:v>3</x:v>
      </x:c>
      <x:c r="D6" s="11" t="str">
        <x:v>支付付费追加拉杆时</x:v>
      </x:c>
      <x:c r="E6" s="11" t="str">
        <x:v>这次付费追加的基础拉杆费减少2骨头。</x:v>
      </x:c>
      <x:c r="F6" s="11" t="str">
        <x:v>不用于免费抽或干预费；最终实付至少1骨头；同次费用最多1份道具折扣。</x:v>
      </x:c>
      <x:c r="G6" s="11" t="str">
        <x:v>slot；economy；discount</x:v>
      </x:c>
      <x:c r="H6" s="11" t="str">
        <x:v>Core</x:v>
      </x:c>
    </x:row>
    <x:row r="7" ht="42" customHeight="1">
      <x:c r="A7" s="3" t="str">
        <x:v>I03</x:v>
      </x:c>
      <x:c r="B7" s="3" t="str">
        <x:v>棺钉固定夹</x:v>
      </x:c>
      <x:c r="C7" s="12" t="n">
        <x:v>4</x:v>
      </x:c>
      <x:c r="D7" s="3" t="str">
        <x:v>盘面干预阶段</x:v>
      </x:c>
      <x:c r="E7" s="3" t="str">
        <x:v>固定1列，按当前权重重新抽另2列的6格。</x:v>
      </x:c>
      <x:c r="F7" s="3" t="str">
        <x:v>每盘最多1份；消耗1次干预，总干预上限2；操作开始扣道具；不会返还原盘已放弃的结果。</x:v>
      </x:c>
      <x:c r="G7" s="3" t="str">
        <x:v>slot；control；lock</x:v>
      </x:c>
      <x:c r="H7" s="3" t="str">
        <x:v>Core</x:v>
      </x:c>
    </x:row>
    <x:row r="8" ht="42" customHeight="1">
      <x:c r="A8" s="11" t="str">
        <x:v>I04</x:v>
      </x:c>
      <x:c r="B8" s="11" t="str">
        <x:v>指节换位针</x:v>
      </x:c>
      <x:c r="C8" s="13" t="n">
        <x:v>4</x:v>
      </x:c>
      <x:c r="D8" s="11" t="str">
        <x:v>盘面干预阶段</x:v>
      </x:c>
      <x:c r="E8" s="11" t="str">
        <x:v>交换2个上下或左右相邻格的符号。</x:v>
      </x:c>
      <x:c r="F8" s="11" t="str">
        <x:v>每盘最多1份；消耗1次干预，总干预上限2；操作开始扣道具。</x:v>
      </x:c>
      <x:c r="G8" s="11" t="str">
        <x:v>slot；control；swap</x:v>
      </x:c>
      <x:c r="H8" s="11" t="str">
        <x:v>Core</x:v>
      </x:c>
    </x:row>
    <x:row r="9" ht="42" customHeight="1">
      <x:c r="A9" s="3" t="str">
        <x:v>I05</x:v>
      </x:c>
      <x:c r="B9" s="3" t="str">
        <x:v>骨灰复写纸</x:v>
      </x:c>
      <x:c r="C9" s="12" t="n">
        <x:v>6</x:v>
      </x:c>
      <x:c r="D9" s="3" t="str">
        <x:v>盘面干预阶段</x:v>
      </x:c>
      <x:c r="E9" s="3" t="str">
        <x:v>把选定1格的符号复制到相邻1格。</x:v>
      </x:c>
      <x:c r="F9" s="3" t="str">
        <x:v>每盘最多1份；消耗1次干预，总干预上限2；只改符号，不复制任何既有奖励。</x:v>
      </x:c>
      <x:c r="G9" s="3" t="str">
        <x:v>slot；control；copy</x:v>
      </x:c>
      <x:c r="H9" s="3" t="str">
        <x:v>Core</x:v>
      </x:c>
    </x:row>
    <x:row r="10" ht="42" customHeight="1">
      <x:c r="A10" s="11" t="str">
        <x:v>I06</x:v>
      </x:c>
      <x:c r="B10" s="11" t="str">
        <x:v>训练骨髓</x:v>
      </x:c>
      <x:c r="C10" s="13" t="n">
        <x:v>5</x:v>
      </x:c>
      <x:c r="D10" s="11" t="str">
        <x:v>波间整军</x:v>
      </x:c>
      <x:c r="E10" s="11" t="str">
        <x:v>给1名永久兵增加6训练经验。</x:v>
      </x:c>
      <x:c r="F10" s="11" t="str">
        <x:v>不改变出生阶级R；Lv8单位不能使用；若越过Lv4且未选专精，待玩家做一次2选1；本波对同一兵最多1份。</x:v>
      </x:c>
      <x:c r="G10" s="11" t="str">
        <x:v>training；army</x:v>
      </x:c>
      <x:c r="H10" s="11" t="str">
        <x:v>Core</x:v>
      </x:c>
    </x:row>
    <x:row r="11" ht="42" customHeight="1">
      <x:c r="A11" s="3" t="str">
        <x:v>I07</x:v>
      </x:c>
      <x:c r="B11" s="3" t="str">
        <x:v>骨甲药膏</x:v>
      </x:c>
      <x:c r="C11" s="12" t="n">
        <x:v>4</x:v>
      </x:c>
      <x:c r="D11" s="3" t="str">
        <x:v>波间整军</x:v>
      </x:c>
      <x:c r="E11" s="3" t="str">
        <x:v>选1名上阵兵，该兵本波开战时获得12骨甲，持续6秒。</x:v>
      </x:c>
      <x:c r="F11" s="3" t="str">
        <x:v>同一目标本波最多1份；服从骨甲上限；换下阵容则效果保留到本波结束但不会转给他人。</x:v>
      </x:c>
      <x:c r="G11" s="3" t="str">
        <x:v>shield；defense</x:v>
      </x:c>
      <x:c r="H11" s="3" t="str">
        <x:v>Core</x:v>
      </x:c>
    </x:row>
    <x:row r="12" ht="42" customHeight="1">
      <x:c r="A12" s="11" t="str">
        <x:v>I08</x:v>
      </x:c>
      <x:c r="B12" s="11" t="str">
        <x:v>防腐药剂</x:v>
      </x:c>
      <x:c r="C12" s="13" t="n">
        <x:v>3</x:v>
      </x:c>
      <x:c r="D12" s="11" t="str">
        <x:v>波间整军</x:v>
      </x:c>
      <x:c r="E12" s="11" t="str">
        <x:v>选1名上阵兵，本波其首次生命低于50%时获得REGEN，持续5秒。</x:v>
      </x:c>
      <x:c r="F12" s="11" t="str">
        <x:v>同一目标本波最多1份；只触发1次，未触发则波后作废；不改变出生阶级或最大生命。</x:v>
      </x:c>
      <x:c r="G12" s="11" t="str">
        <x:v>heal；regen</x:v>
      </x:c>
      <x:c r="H12" s="11" t="str">
        <x:v>Core</x:v>
      </x:c>
    </x:row>
    <x:row r="13" ht="42" customHeight="1">
      <x:c r="A13" s="3" t="str">
        <x:v>I09</x:v>
      </x:c>
      <x:c r="B13" s="3" t="str">
        <x:v>尸油毒瓶</x:v>
      </x:c>
      <x:c r="C13" s="12" t="n">
        <x:v>4</x:v>
      </x:c>
      <x:c r="D13" s="3" t="str">
        <x:v>波间整军</x:v>
      </x:c>
      <x:c r="E13" s="3" t="str">
        <x:v>选1名上阵兵，本波前3次普通命中各附加1层POISON，持续4秒。</x:v>
      </x:c>
      <x:c r="F13" s="3" t="str">
        <x:v>同一目标本波最多1份；只计BASIC_HIT，能力附伤不消耗也不触发；剩余次数波后消失。</x:v>
      </x:c>
      <x:c r="G13" s="3" t="str">
        <x:v>poison；hit</x:v>
      </x:c>
      <x:c r="H13" s="3" t="str">
        <x:v>Core</x:v>
      </x:c>
    </x:row>
    <x:row r="14" ht="42" customHeight="1">
      <x:c r="A14" s="11" t="str">
        <x:v>I10</x:v>
      </x:c>
      <x:c r="B14" s="11" t="str">
        <x:v>备用命匣碎片</x:v>
      </x:c>
      <x:c r="C14" s="13" t="n">
        <x:v>8</x:v>
      </x:c>
      <x:c r="D14" s="11" t="str">
        <x:v>波间整军</x:v>
      </x:c>
      <x:c r="E14" s="11" t="str">
        <x:v>恢复命匣4生命，最多恢复到60。</x:v>
      </x:c>
      <x:c r="F14" s="11" t="str">
        <x:v>每节点最多1份；满生命时禁用；不发EFFECTIVE_HEAL，不作用于军队单位。</x:v>
      </x:c>
      <x:c r="G14" s="11" t="str">
        <x:v>phylactery；recovery</x:v>
      </x:c>
      <x:c r="H14" s="11" t="str">
        <x:v>Core</x:v>
      </x:c>
    </x:row>
    <x:row r="15" ht="57" customHeight="1">
      <x:c r="A15" s="3" t="str">
        <x:v>I11</x:v>
      </x:c>
      <x:c r="B15" s="3" t="str">
        <x:v>急救骨胶</x:v>
      </x:c>
      <x:c r="C15" s="12" t="n">
        <x:v>6</x:v>
      </x:c>
      <x:c r="D15" s="3" t="str">
        <x:v>战斗中，Expansion</x:v>
      </x:c>
      <x:c r="E15" s="3" t="str">
        <x:v>选择1名存活永久兵，立即恢复10生命。</x:v>
      </x:c>
      <x:c r="F15" s="3" t="str">
        <x:v>本波全部战内道具总计最多1次，并占每波最多2次道具使用中的1次；不能复活；按实际回复发EFFECTIVE_HEAL。</x:v>
      </x:c>
      <x:c r="G15" s="3" t="str">
        <x:v>heal；combat_item</x:v>
      </x:c>
      <x:c r="H15" s="3" t="str">
        <x:v>Expansion</x:v>
      </x:c>
    </x:row>
    <x:row r="16" ht="57" customHeight="1">
      <x:c r="A16" s="11" t="str">
        <x:v>I12</x:v>
      </x:c>
      <x:c r="B16" s="11" t="str">
        <x:v>亵渎骨爆瓶</x:v>
      </x:c>
      <x:c r="C16" s="13" t="n">
        <x:v>8</x:v>
      </x:c>
      <x:c r="D16" s="11" t="str">
        <x:v>战斗中，Expansion</x:v>
      </x:c>
      <x:c r="E16" s="11" t="str">
        <x:v>选择1名永久兵，消耗其2米内最近1具尸骸，在尸骸处对2米内敌人造成14法术伤害。</x:v>
      </x:c>
      <x:c r="F16" s="11" t="str">
        <x:v>本波全部战内道具总计最多1次，并占每波最多2次使用中的1次；无合法尸骸时不可启动；消耗者为所选兵，发1次CORPSE_CONSUME；附伤不暴击。</x:v>
      </x:c>
      <x:c r="G16" s="11" t="str">
        <x:v>corpse；magic；combat_item</x:v>
      </x:c>
      <x:c r="H16" s="11" t="str">
        <x:v>Expansion</x:v>
      </x:c>
    </x:row>
    <x:row r="17">
      <x:c r="A17" s="3"/>
      <x:c r="B17" s="3"/>
      <x:c r="C17" s="3"/>
      <x:c r="D17" s="3"/>
      <x:c r="E17" s="3"/>
      <x:c r="F17" s="3"/>
      <x:c r="G17" s="3"/>
      <x:c r="H17" s="3"/>
    </x:row>
    <x:row r="18">
      <x:c r="A18" s="3"/>
      <x:c r="B18" s="3"/>
      <x:c r="C18" s="3"/>
      <x:c r="D18" s="3"/>
      <x:c r="E18" s="3"/>
      <x:c r="F18" s="3"/>
      <x:c r="G18" s="3"/>
      <x:c r="H18" s="3"/>
    </x:row>
    <x:row r="19">
      <x:c r="A19" s="3"/>
      <x:c r="B19" s="3"/>
      <x:c r="C19" s="3"/>
      <x:c r="D19" s="3"/>
      <x:c r="E19" s="3"/>
      <x:c r="F19" s="3"/>
      <x:c r="G19" s="3"/>
      <x:c r="H19" s="3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5512006536ee4d4c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109999656677246" hidden="0" customWidth="1"/>
    <x:col min="2" max="2" width="16.670000076293945" hidden="0" customWidth="1"/>
    <x:col min="3" max="3" width="28.889999389648438" hidden="0" customWidth="1"/>
    <x:col min="4" max="4" width="7.78000020980835" hidden="0" customWidth="1"/>
    <x:col min="5" max="5" width="37.779998779296875" hidden="0" customWidth="1"/>
    <x:col min="6" max="6" width="24.440000534057617" hidden="0" customWidth="1"/>
    <x:col min="7" max="7" width="37.779998779296875" hidden="0" customWidth="1"/>
    <x:col min="8" max="8" width="28.889999389648438" hidden="0" customWidth="1"/>
    <x:col min="9" max="9" width="33.3300018310546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5" t="str">
        <x:v>七种节点的功能与取舍</x:v>
      </x:c>
      <x:c r="B2" s="4"/>
      <x:c r="C2" s="4"/>
      <x:c r="D2" s="4"/>
      <x:c r="E2" s="4"/>
      <x:c r="F2" s="4"/>
      <x:c r="G2" s="4"/>
      <x:c r="H2" s="4"/>
      <x:c r="I2" s="4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节点ID</x:v>
      </x:c>
      <x:c r="B4" s="10" t="str">
        <x:v>名称</x:v>
      </x:c>
      <x:c r="C4" s="10" t="str">
        <x:v>目的</x:v>
      </x:c>
      <x:c r="D4" s="10" t="str">
        <x:v>波数</x:v>
      </x:c>
      <x:c r="E4" s="10" t="str">
        <x:v>选项</x:v>
      </x:c>
      <x:c r="F4" s="10" t="str">
        <x:v>费用</x:v>
      </x:c>
      <x:c r="G4" s="10" t="str">
        <x:v>奖励</x:v>
      </x:c>
      <x:c r="H4" s="10" t="str">
        <x:v>提前显示</x:v>
      </x:c>
      <x:c r="I4" s="10" t="str">
        <x:v>限制</x:v>
      </x:c>
    </x:row>
    <x:row r="5" ht="117" customHeight="1">
      <x:c r="A5" s="3" t="str">
        <x:v>N01</x:v>
      </x:c>
      <x:c r="B5" s="3" t="str">
        <x:v>普通据点</x:v>
      </x:c>
      <x:c r="C5" s="3" t="str">
        <x:v>稳定骨头收入、逐波测试军队；每章第1层必经，第3层可选。</x:v>
      </x:c>
      <x:c r="D5" s="12" t="n">
        <x:v>3</x:v>
      </x:c>
      <x:c r="E5" s="3" t="str">
        <x:v>每波1次免费抽；额外抽按3/5/8骨最多3次；可免费吸收正式兵、调整6正式+6后备；占领后从主要奖励候选中选1，或放弃整组候选换I01×1。</x:v>
      </x:c>
      <x:c r="F5" s="3" t="str">
        <x:v>额外抽按3/5/8骨；非Boss敌突破扣2命匣，每波伤害上限20。60秒超时撤退，本波和节点完成收益不发；不收费复活。</x:v>
      </x:c>
      <x:c r="G5" s="3" t="str">
        <x:v>每波骨头按章4/5/6；完成再得6骨；主要奖励：按当前章已解锁且未持有的遗物池，生成common/common/rare三个候选槽，同ID去重、严格不降稀有度。某档候选不足时改为固定6骨选项，同次至多一个；再不足保留更少候选，至少保留固定6骨。也可放弃整个候选组换I01×1，不与任一候选叠领。</x:v>
      </x:c>
      <x:c r="H5" s="3" t="str">
        <x:v>显示全部3波敌人种类、数量、关键技能与突破威胁；显示固定骨头和遗物奖励类型；候选遗物结算时揭示。</x:v>
      </x:c>
      <x:c r="I5" s="3" t="str">
        <x:v>每个节点实例只能结算一次；第1层与第3层使用不同遭遇模板；三波之间不进入大地图。</x:v>
      </x:c>
    </x:row>
    <x:row r="6" ht="102" customHeight="1">
      <x:c r="A6" s="11" t="str">
        <x:v>N02</x:v>
      </x:c>
      <x:c r="B6" s="11" t="str">
        <x:v>精英堡垒</x:v>
      </x:c>
      <x:c r="C6" s="11" t="str">
        <x:v>以更高战斗风险换rare/rare/legendary主要奖励档位；每章第3层与普通据点二选一。</x:v>
      </x:c>
      <x:c r="D6" s="13" t="n">
        <x:v>3</x:v>
      </x:c>
      <x:c r="E6" s="11" t="str">
        <x:v>波间同普通据点；占领后从rare/rare/legendary档位的主要奖励候选中选1，候选不足按统一6骨回退。</x:v>
      </x:c>
      <x:c r="F6" s="11" t="str">
        <x:v>额外抽按3/5/8骨；精英节点敌兵突破扣4命匣，每波伤害上限20。60秒超时撤退，本波和节点完成收益不发。</x:v>
      </x:c>
      <x:c r="G6" s="11" t="str">
        <x:v>每波骨头按章5/6/7；完成再得8骨；主要奖励：按当前章已解锁且未持有的遗物池，生成rare/rare/legendary三个候选槽，同ID去重、严格不降稀有度。某档候选不足时改为固定6骨选项，同次至多一个；再不足保留更少候选，至少保留固定6骨。</x:v>
      </x:c>
      <x:c r="H6" s="11" t="str">
        <x:v>预览三波完整敌情、难点标签、rare/rare/legendary奖励档位及不足时6骨回退；不隐藏必然反制技能。</x:v>
      </x:c>
      <x:c r="I6" s="11" t="str">
        <x:v>每章最多1个；不能反复进入；没有额外免费抽额度。</x:v>
      </x:c>
    </x:row>
    <x:row r="7" ht="117" customHeight="1">
      <x:c r="A7" s="3" t="str">
        <x:v>N03</x:v>
      </x:c>
      <x:c r="B7" s="3" t="str">
        <x:v>城池首领</x:v>
      </x:c>
      <x:c r="C7" s="3" t="str">
        <x:v>检验本章构筑并推进村堡→外城→王都；每章第5层必经。</x:v>
      </x:c>
      <x:c r="D7" s="12" t="n">
        <x:v>3</x:v>
      </x:c>
      <x:c r="E7" s="3" t="str">
        <x:v>前2波为守军，第3波首领；占领后从legendary/legendary/legendary档位主要奖励候选中选1，候选不足按统一6骨回退。</x:v>
      </x:c>
      <x:c r="F7" s="3" t="str">
        <x:v>额外抽按3/5/8骨；非Boss突破扣2、Boss本体扣10且末波直接败局；每波命匣伤害上限20。任一波60秒超时本局失败。</x:v>
      </x:c>
      <x:c r="G7" s="3" t="str">
        <x:v>每波骨头按章6/7/8；完成再得12骨；主要奖励：按当前章已解锁且未持有的遗物池，生成legendary/legendary/legendary三个候选槽，同ID去重、严格不降稀有度。某档候选不足时改为固定6骨选项，同次至多一个；再不足保留更少候选，至少保留固定6骨。第1/2章额外机器槽+1，第3章通关不再加槽。</x:v>
      </x:c>
      <x:c r="H7" s="3" t="str">
        <x:v>预览守军、首领的阶段阈值/召援/范围技能、奖励稀有度与机器槽奖励。</x:v>
      </x:c>
      <x:c r="I7" s="3" t="str">
        <x:v>每章1个；每个首领只结算一次；机器槽初始2且最多4，与6正式兵位无关。</x:v>
      </x:c>
    </x:row>
    <x:row r="8" ht="57" customHeight="1">
      <x:c r="A8" s="11" t="str">
        <x:v>N04</x:v>
      </x:c>
      <x:c r="B8" s="11" t="str">
        <x:v>黑市</x:v>
      </x:c>
      <x:c r="C8" s="11" t="str">
        <x:v>用明确价格购买规则组件，稳定修正构筑；不直接招募士兵。</x:v>
      </x:c>
      <x:c r="D8" s="13" t="n">
        <x:v>0</x:v>
      </x:c>
      <x:c r="E8" s="11" t="str">
        <x:v>购买库存遗物/消耗道具；另可进行一次权重微调；可空手离开。</x:v>
      </x:c>
      <x:c r="F8" s="11" t="str">
        <x:v>遗物common12/rare20/legendary32骨；道具按systems表3–8骨；权重微调4骨。</x:v>
      </x:c>
      <x:c r="G8" s="11" t="str">
        <x:v>库存遗物/道具；微调将一个活跃家族的1权重移给另一个活跃家族，总和20且每家族2–10。</x:v>
      </x:c>
      <x:c r="H8" s="11" t="str">
        <x:v>进入前显示商店类型；进入后购买前显示物品、完整规则与价格；微调确认前显示结果概率。</x:v>
      </x:c>
      <x:c r="I8" s="11" t="str">
        <x:v>每章第2层与墓园二选一；建议库存3遗物+2消耗品且不刷新；每个库存条目限买1；微调最多1次；不售复活、不卖兵。</x:v>
      </x:c>
    </x:row>
    <x:row r="9" ht="57" customHeight="1">
      <x:c r="A9" s="3" t="str">
        <x:v>N05</x:v>
      </x:c>
      <x:c r="B9" s="3" t="str">
        <x:v>墓园</x:v>
      </x:c>
      <x:c r="C9" s="3" t="str">
        <x:v>在当前容错与永久经验成长间选择；与黑市形成状态驱动的分支。</x:v>
      </x:c>
      <x:c r="D9" s="12" t="n">
        <x:v>0</x:v>
      </x:c>
      <x:c r="E9" s="3" t="str">
        <x:v>修复命匣15点(不超过最大60)，或指定1名现有正式兵获得12训练XP；二选一，也可离开。</x:v>
      </x:c>
      <x:c r="F9" s="3" t="str">
        <x:v>不花骨头；选择一个服务即放弃另一个及黑市机会。</x:v>
      </x:c>
      <x:c r="G9" s="3" t="str">
        <x:v>命匣+15或训练XP+12；XP不能提高出生阶。</x:v>
      </x:c>
      <x:c r="H9" s="3" t="str">
        <x:v>显示实际可恢复量、目标单位经验与升级预览；满命匣时修复可见但标出实际收益0。</x:v>
      </x:c>
      <x:c r="I9" s="3" t="str">
        <x:v>每章第2层最多1次；二选一不能同时取得；训练只作用于现有正式兵，不能制造士兵。</x:v>
      </x:c>
    </x:row>
    <x:row r="10" ht="57" customHeight="1">
      <x:c r="A10" s="11" t="str">
        <x:v>N06</x:v>
      </x:c>
      <x:c r="B10" s="11" t="str">
        <x:v>邪术工坊</x:v>
      </x:c>
      <x:c r="C10" s="11" t="str">
        <x:v>改变未来老虎机供给，支持转型和概率经营。</x:v>
      </x:c>
      <x:c r="D10" s="13" t="n">
        <x:v>0</x:v>
      </x:c>
      <x:c r="E10" s="11" t="str">
        <x:v>8骨替换一个活跃家族，或6骨重新分配4个活跃家族的20权重；只选付费一项，也可离开。</x:v>
      </x:c>
      <x:c r="F10" s="11" t="str">
        <x:v>换族8骨；重配权重6骨；没有未定义的修机服务。</x:v>
      </x:c>
      <x:c r="G10" s="11" t="str">
        <x:v>换族时从2个非活跃家族中选1个替换，继承被替换家族当前权重；已有军队不受影响。重配遵守每家族2–10、总20。</x:v>
      </x:c>
      <x:c r="H10" s="11" t="str">
        <x:v>付款前显示旧/新活跃家族、完整权重与概率变化；显示仍保留的现有军队。</x:v>
      </x:c>
      <x:c r="I10" s="11" t="str">
        <x:v>每章第4层与事件二选一；每节点一次服务；不生成骨头、不把已有兵转换家族、不提升出生阶。</x:v>
      </x:c>
    </x:row>
    <x:row r="11" ht="57" customHeight="1">
      <x:c r="A11" s="3" t="str">
        <x:v>N07</x:v>
      </x:c>
      <x:c r="B11" s="3" t="str">
        <x:v>黑色幽默事件</x:v>
      </x:c>
      <x:c r="C11" s="3" t="str">
        <x:v>以明确代价换针对首领或构筑的机会；与工坊形成取舍。</x:v>
      </x:c>
      <x:c r="D11" s="12" t="n">
        <x:v>0</x:v>
      </x:c>
      <x:c r="E11" s="3" t="str">
        <x:v>从本事件2个明确的代价/收益选项中选1，或无代价离开。</x:v>
      </x:c>
      <x:c r="F11" s="3" t="str">
        <x:v>见EV01–EV08；扣命匣的选项要求付款后命匣至少1；骨头不足或无合法目标时禁用该项。</x:v>
      </x:c>
      <x:c r="G11" s="3" t="str">
        <x:v>经验、骨头、治疗、道具或仅下一首领节点有效的明确修正；不直接送高阶兵。</x:v>
      </x:c>
      <x:c r="H11" s="3" t="str">
        <x:v>选路前可展开已抽定事件的完整选项、花费和收益；没有隐藏强制选择。</x:v>
      </x:c>
      <x:c r="I11" s="3" t="str">
        <x:v>每章第4层最多1次；同一事件ID一局不重复；一个事件只选一项，不可购买另一项或重抽事件。</x:v>
      </x:c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4761f8d0d9514718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109999656677246" hidden="0" customWidth="1"/>
    <x:col min="2" max="2" width="8.890000343322754" hidden="0" customWidth="1"/>
    <x:col min="3" max="3" width="11.109999656677246" hidden="0" customWidth="1"/>
    <x:col min="4" max="4" width="12.220000267028809" hidden="0" customWidth="1"/>
    <x:col min="5" max="5" width="12.220000267028809" hidden="0" customWidth="1"/>
    <x:col min="6" max="6" width="25.559999465942383" hidden="0" customWidth="1"/>
    <x:col min="7" max="7" width="20" hidden="0" customWidth="1"/>
    <x:col min="8" max="8" width="41.1100006103515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30" customHeight="1">
      <x:c r="A2" s="5" t="str">
        <x:v>全胜路径的波次与占领奖励</x:v>
      </x:c>
      <x:c r="B2" s="4"/>
      <x:c r="C2" s="4"/>
      <x:c r="D2" s="4"/>
      <x:c r="E2" s="4"/>
      <x:c r="F2" s="4"/>
      <x:c r="G2" s="4"/>
      <x:c r="H2" s="4"/>
    </x:row>
    <x:row r="3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键</x:v>
      </x:c>
      <x:c r="B4" s="10" t="str">
        <x:v>章节</x:v>
      </x:c>
      <x:c r="C4" s="10" t="str">
        <x:v>节点ID</x:v>
      </x:c>
      <x:c r="D4" s="10" t="str">
        <x:v>每波骨头</x:v>
      </x:c>
      <x:c r="E4" s="10" t="str">
        <x:v>占领骨头</x:v>
      </x:c>
      <x:c r="F4" s="10" t="str">
        <x:v>遗物规则</x:v>
      </x:c>
      <x:c r="G4" s="10" t="str">
        <x:v>额外奖励</x:v>
      </x:c>
      <x:c r="H4" s="10" t="str">
        <x:v>结算边界</x:v>
      </x:c>
    </x:row>
    <x:row r="5" ht="57" customHeight="1">
      <x:c r="A5" s="3" t="str">
        <x:v>1-N01</x:v>
      </x:c>
      <x:c r="B5" s="12" t="n">
        <x:v>1</x:v>
      </x:c>
      <x:c r="C5" s="3" t="str">
        <x:v>N01</x:v>
      </x:c>
      <x:c r="D5" s="12" t="n">
        <x:v>4</x:v>
      </x:c>
      <x:c r="E5" s="12" t="n">
        <x:v>6</x:v>
      </x:c>
      <x:c r="F5" s="3" t="str">
        <x:v>普通/普通/稀有；可整组换I01一张</x:v>
      </x:c>
      <x:c r="G5" s="3" t="str">
        <x:v>无</x:v>
      </x:c>
      <x:c r="H5" s="3" t="str">
        <x:v>仅成功过波/占领后发；候选按章解锁、未持有、去重；不足最多一个6骨选项补位，再不足减少选项，不降档。</x:v>
      </x:c>
    </x:row>
    <x:row r="6" ht="57" customHeight="1">
      <x:c r="A6" s="11" t="str">
        <x:v>1-N02</x:v>
      </x:c>
      <x:c r="B6" s="13" t="n">
        <x:v>1</x:v>
      </x:c>
      <x:c r="C6" s="11" t="str">
        <x:v>N02</x:v>
      </x:c>
      <x:c r="D6" s="13" t="n">
        <x:v>5</x:v>
      </x:c>
      <x:c r="E6" s="13" t="n">
        <x:v>8</x:v>
      </x:c>
      <x:c r="F6" s="11" t="str">
        <x:v>稀有/稀有/传奇</x:v>
      </x:c>
      <x:c r="G6" s="11" t="str">
        <x:v>无</x:v>
      </x:c>
      <x:c r="H6" s="11" t="str">
        <x:v>仅成功过波/占领后发；候选按章解锁、未持有、去重；不足最多一个6骨选项补位，再不足减少选项，不降档。</x:v>
      </x:c>
    </x:row>
    <x:row r="7" ht="57" customHeight="1">
      <x:c r="A7" s="3" t="str">
        <x:v>1-N03</x:v>
      </x:c>
      <x:c r="B7" s="12" t="n">
        <x:v>1</x:v>
      </x:c>
      <x:c r="C7" s="3" t="str">
        <x:v>N03</x:v>
      </x:c>
      <x:c r="D7" s="12" t="n">
        <x:v>6</x:v>
      </x:c>
      <x:c r="E7" s="12" t="n">
        <x:v>12</x:v>
      </x:c>
      <x:c r="F7" s="3" t="str">
        <x:v>传奇/传奇/传奇</x:v>
      </x:c>
      <x:c r="G7" s="3" t="str">
        <x:v>机器槽+1</x:v>
      </x:c>
      <x:c r="H7" s="3" t="str">
        <x:v>仅成功过波/占领后发；候选按章解锁、未持有、去重；不足最多一个6骨选项补位，再不足减少选项，不降档。</x:v>
      </x:c>
    </x:row>
    <x:row r="8" ht="57" customHeight="1">
      <x:c r="A8" s="11" t="str">
        <x:v>2-N01</x:v>
      </x:c>
      <x:c r="B8" s="13" t="n">
        <x:v>2</x:v>
      </x:c>
      <x:c r="C8" s="11" t="str">
        <x:v>N01</x:v>
      </x:c>
      <x:c r="D8" s="13" t="n">
        <x:v>5</x:v>
      </x:c>
      <x:c r="E8" s="13" t="n">
        <x:v>6</x:v>
      </x:c>
      <x:c r="F8" s="11" t="str">
        <x:v>普通/普通/稀有；可整组换I01一张</x:v>
      </x:c>
      <x:c r="G8" s="11" t="str">
        <x:v>无</x:v>
      </x:c>
      <x:c r="H8" s="11" t="str">
        <x:v>仅成功过波/占领后发；候选按章解锁、未持有、去重；不足最多一个6骨选项补位，再不足减少选项，不降档。</x:v>
      </x:c>
    </x:row>
    <x:row r="9" ht="57" customHeight="1">
      <x:c r="A9" s="3" t="str">
        <x:v>2-N02</x:v>
      </x:c>
      <x:c r="B9" s="12" t="n">
        <x:v>2</x:v>
      </x:c>
      <x:c r="C9" s="3" t="str">
        <x:v>N02</x:v>
      </x:c>
      <x:c r="D9" s="12" t="n">
        <x:v>6</x:v>
      </x:c>
      <x:c r="E9" s="12" t="n">
        <x:v>8</x:v>
      </x:c>
      <x:c r="F9" s="3" t="str">
        <x:v>稀有/稀有/传奇</x:v>
      </x:c>
      <x:c r="G9" s="3" t="str">
        <x:v>无</x:v>
      </x:c>
      <x:c r="H9" s="3" t="str">
        <x:v>仅成功过波/占领后发；候选按章解锁、未持有、去重；不足最多一个6骨选项补位，再不足减少选项，不降档。</x:v>
      </x:c>
    </x:row>
    <x:row r="10" ht="57" customHeight="1">
      <x:c r="A10" s="11" t="str">
        <x:v>2-N03</x:v>
      </x:c>
      <x:c r="B10" s="13" t="n">
        <x:v>2</x:v>
      </x:c>
      <x:c r="C10" s="11" t="str">
        <x:v>N03</x:v>
      </x:c>
      <x:c r="D10" s="13" t="n">
        <x:v>7</x:v>
      </x:c>
      <x:c r="E10" s="13" t="n">
        <x:v>12</x:v>
      </x:c>
      <x:c r="F10" s="11" t="str">
        <x:v>传奇/传奇/传奇</x:v>
      </x:c>
      <x:c r="G10" s="11" t="str">
        <x:v>机器槽+1</x:v>
      </x:c>
      <x:c r="H10" s="11" t="str">
        <x:v>仅成功过波/占领后发；候选按章解锁、未持有、去重；不足最多一个6骨选项补位，再不足减少选项，不降档。</x:v>
      </x:c>
    </x:row>
    <x:row r="11" ht="57" customHeight="1">
      <x:c r="A11" s="3" t="str">
        <x:v>3-N01</x:v>
      </x:c>
      <x:c r="B11" s="12" t="n">
        <x:v>3</x:v>
      </x:c>
      <x:c r="C11" s="3" t="str">
        <x:v>N01</x:v>
      </x:c>
      <x:c r="D11" s="12" t="n">
        <x:v>6</x:v>
      </x:c>
      <x:c r="E11" s="12" t="n">
        <x:v>6</x:v>
      </x:c>
      <x:c r="F11" s="3" t="str">
        <x:v>普通/普通/稀有；可整组换I01一张</x:v>
      </x:c>
      <x:c r="G11" s="3" t="str">
        <x:v>无</x:v>
      </x:c>
      <x:c r="H11" s="3" t="str">
        <x:v>仅成功过波/占领后发；候选按章解锁、未持有、去重；不足最多一个6骨选项补位，再不足减少选项，不降档。</x:v>
      </x:c>
    </x:row>
    <x:row r="12" ht="57" customHeight="1">
      <x:c r="A12" s="11" t="str">
        <x:v>3-N02</x:v>
      </x:c>
      <x:c r="B12" s="13" t="n">
        <x:v>3</x:v>
      </x:c>
      <x:c r="C12" s="11" t="str">
        <x:v>N02</x:v>
      </x:c>
      <x:c r="D12" s="13" t="n">
        <x:v>7</x:v>
      </x:c>
      <x:c r="E12" s="13" t="n">
        <x:v>8</x:v>
      </x:c>
      <x:c r="F12" s="11" t="str">
        <x:v>稀有/稀有/传奇</x:v>
      </x:c>
      <x:c r="G12" s="11" t="str">
        <x:v>无</x:v>
      </x:c>
      <x:c r="H12" s="11" t="str">
        <x:v>仅成功过波/占领后发；候选按章解锁、未持有、去重；不足最多一个6骨选项补位，再不足减少选项，不降档。</x:v>
      </x:c>
    </x:row>
    <x:row r="13" ht="57" customHeight="1">
      <x:c r="A13" s="3" t="str">
        <x:v>3-N03</x:v>
      </x:c>
      <x:c r="B13" s="12" t="n">
        <x:v>3</x:v>
      </x:c>
      <x:c r="C13" s="3" t="str">
        <x:v>N03</x:v>
      </x:c>
      <x:c r="D13" s="12" t="n">
        <x:v>8</x:v>
      </x:c>
      <x:c r="E13" s="12" t="n">
        <x:v>12</x:v>
      </x:c>
      <x:c r="F13" s="3" t="str">
        <x:v>传奇/传奇/传奇</x:v>
      </x:c>
      <x:c r="G13" s="3" t="str">
        <x:v>通关结算</x:v>
      </x:c>
      <x:c r="H13" s="3" t="str">
        <x:v>仅成功过波/占领后发；候选按章解锁、未持有、去重；不足最多一个6骨选项补位，再不足减少选项，不降档。</x:v>
      </x:c>
    </x:row>
    <x:row r="14">
      <x:c r="A14" s="3"/>
      <x:c r="B14" s="3"/>
      <x:c r="C14" s="3"/>
      <x:c r="D14" s="3"/>
      <x:c r="E14" s="3"/>
      <x:c r="F14" s="3"/>
      <x:c r="G14" s="3"/>
      <x:c r="H14" s="3"/>
    </x:row>
    <x:row r="15">
      <x:c r="A15" s="3"/>
      <x:c r="B15" s="3"/>
      <x:c r="C15" s="3"/>
      <x:c r="D15" s="3"/>
      <x:c r="E15" s="3"/>
      <x:c r="F15" s="3"/>
      <x:c r="G15" s="3"/>
      <x:c r="H15" s="3"/>
    </x:row>
    <x:row r="16">
      <x:c r="A16" s="3"/>
      <x:c r="B16" s="3"/>
      <x:c r="C16" s="3"/>
      <x:c r="D16" s="3"/>
      <x:c r="E16" s="3"/>
      <x:c r="F16" s="3"/>
      <x:c r="G16" s="3"/>
      <x:c r="H16" s="3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349e127495244730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.4399995803833" hidden="0" customWidth="1"/>
    <x:col min="2" max="2" width="17.780000686645508" hidden="0" customWidth="1"/>
    <x:col min="3" max="3" width="7.21999979019165" hidden="0" customWidth="1"/>
    <x:col min="4" max="4" width="16.670000076293945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47.779998779296875" hidden="0" customWidth="1"/>
    <x:col min="12" max="12" width="30" hidden="0" customWidth="1"/>
    <x:col min="13" max="13" width="33.33000183105469" hidden="0" customWidth="1"/>
    <x:col min="14" max="14" width="3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5" t="str">
        <x:v>人类敌军与反制窗口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6" customHeight="1">
      <x:c r="A4" s="10" t="str">
        <x:v>敌人ID</x:v>
      </x:c>
      <x:c r="B4" s="10" t="str">
        <x:v>名称</x:v>
      </x:c>
      <x:c r="C4" s="10" t="str">
        <x:v>章</x:v>
      </x:c>
      <x:c r="D4" s="10" t="str">
        <x:v>职责</x:v>
      </x:c>
      <x:c r="E4" s="10" t="str">
        <x:v>生命</x:v>
      </x:c>
      <x:c r="F4" s="10" t="str">
        <x:v>攻击</x:v>
      </x:c>
      <x:c r="G4" s="10" t="str">
        <x:v>护甲</x:v>
      </x:c>
      <x:c r="H4" s="10" t="str">
        <x:v>攻速</x:v>
      </x:c>
      <x:c r="I4" s="10" t="str">
        <x:v>移速</x:v>
      </x:c>
      <x:c r="J4" s="10" t="str">
        <x:v>射程</x:v>
      </x:c>
      <x:c r="K4" s="10" t="str">
        <x:v>技能</x:v>
      </x:c>
      <x:c r="L4" s="10" t="str">
        <x:v>威胁</x:v>
      </x:c>
      <x:c r="M4" s="10" t="str">
        <x:v>应对</x:v>
      </x:c>
      <x:c r="N4" s="10" t="str">
        <x:v>骨头规则</x:v>
      </x:c>
    </x:row>
    <x:row r="5" ht="57" customHeight="1">
      <x:c r="A5" s="3" t="str">
        <x:v>E01</x:v>
      </x:c>
      <x:c r="B5" s="3" t="str">
        <x:v>征粮民兵</x:v>
      </x:c>
      <x:c r="C5" s="12" t="n">
        <x:v>1</x:v>
      </x:c>
      <x:c r="D5" s="3" t="str">
        <x:v>基础近战</x:v>
      </x:c>
      <x:c r="E5" s="12" t="n">
        <x:v>110</x:v>
      </x:c>
      <x:c r="F5" s="12" t="n">
        <x:v>9</x:v>
      </x:c>
      <x:c r="G5" s="12" t="n">
        <x:v>0</x:v>
      </x:c>
      <x:c r="H5" s="12" t="n">
        <x:v>0.75</x:v>
      </x:c>
      <x:c r="I5" s="12" t="n">
        <x:v>1</x:v>
      </x:c>
      <x:c r="J5" s="12" t="n">
        <x:v>1.1</x:v>
      </x:c>
      <x:c r="K5" s="3" t="str">
        <x:v>普通物理攻击；优先最近合法目标，无额外技能。</x:v>
      </x:c>
      <x:c r="L5" s="3" t="str">
        <x:v>数量挤压前排；为其他兵种提供掩护。</x:v>
      </x:c>
      <x:c r="M5" s="3" t="str">
        <x:v>稳定前排与基础范围伤害；勿把所有兵都吸收成一个脆弱主核。</x:v>
      </x:c>
      <x:c r="N5" s="3" t="str">
        <x:v>击杀表现仅分摊所属波固定预算；数量、复活、临时援军不增加预算。临时召援不产永久XP或骨头。</x:v>
      </x:c>
    </x:row>
    <x:row r="6" ht="57" customHeight="1">
      <x:c r="A6" s="11" t="str">
        <x:v>E02</x:v>
      </x:c>
      <x:c r="B6" s="11" t="str">
        <x:v>圆盾卫兵</x:v>
      </x:c>
      <x:c r="C6" s="13" t="n">
        <x:v>1</x:v>
      </x:c>
      <x:c r="D6" s="11" t="str">
        <x:v>盾墙前排</x:v>
      </x:c>
      <x:c r="E6" s="13" t="n">
        <x:v>180</x:v>
      </x:c>
      <x:c r="F6" s="13" t="n">
        <x:v>9</x:v>
      </x:c>
      <x:c r="G6" s="13" t="n">
        <x:v>25</x:v>
      </x:c>
      <x:c r="H6" s="13" t="n">
        <x:v>0.65</x:v>
      </x:c>
      <x:c r="I6" s="13" t="n">
        <x:v>0.75</x:v>
      </x:c>
      <x:c r="J6" s="13" t="n">
        <x:v>1.1</x:v>
      </x:c>
      <x:c r="K6" s="11" t="str">
        <x:v>入场获得30护盾，持续至本波结束，仅1次；遵守BONE_ARMOR公共上限与受伤结算，耗尽不自动补充。</x:v>
      </x:c>
      <x:c r="L6" s="11" t="str">
        <x:v>拖延输出，让远程/治疗持续工作。</x:v>
      </x:c>
      <x:c r="M6" s="11" t="str">
        <x:v>穿透、法术或持续伤害；集中击破一侧。</x:v>
      </x:c>
      <x:c r="N6" s="11" t="str">
        <x:v>击杀表现仅分摊所属波固定预算；数量、复活、临时援军不增加预算。临时召援不产永久XP或骨头。</x:v>
      </x:c>
    </x:row>
    <x:row r="7" ht="57" customHeight="1">
      <x:c r="A7" s="3" t="str">
        <x:v>E03</x:v>
      </x:c>
      <x:c r="B7" s="3" t="str">
        <x:v>村口猎户</x:v>
      </x:c>
      <x:c r="C7" s="12" t="n">
        <x:v>1</x:v>
      </x:c>
      <x:c r="D7" s="3" t="str">
        <x:v>远程输出</x:v>
      </x:c>
      <x:c r="E7" s="12" t="n">
        <x:v>80</x:v>
      </x:c>
      <x:c r="F7" s="12" t="n">
        <x:v>12</x:v>
      </x:c>
      <x:c r="G7" s="12" t="n">
        <x:v>0</x:v>
      </x:c>
      <x:c r="H7" s="12" t="n">
        <x:v>0.75</x:v>
      </x:c>
      <x:c r="I7" s="12" t="n">
        <x:v>0.9</x:v>
      </x:c>
      <x:c r="J7" s="12" t="n">
        <x:v>6</x:v>
      </x:c>
      <x:c r="K7" s="3" t="str">
        <x:v>普攻物理；每第4次普攻伤害提高至150%，命中计数每波重置；强化箭有蓄力提示。</x:v>
      </x:c>
      <x:c r="L7" s="3" t="str">
        <x:v>前排掩护下的持续射击。</x:v>
      </x:c>
      <x:c r="M7" s="3" t="str">
        <x:v>后排打击能力或快速突破前排；临时召唤可承接射击。</x:v>
      </x:c>
      <x:c r="N7" s="3" t="str">
        <x:v>击杀表现仅分摊所属波固定预算；数量、复活、临时援军不增加预算。临时召援不产永久XP或骨头。</x:v>
      </x:c>
    </x:row>
    <x:row r="8" ht="57" customHeight="1">
      <x:c r="A8" s="11" t="str">
        <x:v>E04</x:v>
      </x:c>
      <x:c r="B8" s="11" t="str">
        <x:v>战地修士</x:v>
      </x:c>
      <x:c r="C8" s="13" t="n">
        <x:v>1</x:v>
      </x:c>
      <x:c r="D8" s="11" t="str">
        <x:v>单体治疗</x:v>
      </x:c>
      <x:c r="E8" s="13" t="n">
        <x:v>105</x:v>
      </x:c>
      <x:c r="F8" s="13" t="n">
        <x:v>5</x:v>
      </x:c>
      <x:c r="G8" s="13" t="n">
        <x:v>0</x:v>
      </x:c>
      <x:c r="H8" s="13" t="n">
        <x:v>0.6</x:v>
      </x:c>
      <x:c r="I8" s="13" t="n">
        <x:v>0.85</x:v>
      </x:c>
      <x:c r="J8" s="13" t="n">
        <x:v>4</x:v>
      </x:c>
      <x:c r="K8" s="11" t="str">
        <x:v>入场3秒后首次治疗，此后每6秒治疗范围6内生命比例最低的1名友军18HP；不能复活，满血跳过。</x:v>
      </x:c>
      <x:c r="L8" s="11" t="str">
        <x:v>拉长击破盾兵所需时间。</x:v>
      </x:c>
      <x:c r="M8" s="11" t="str">
        <x:v>集中伤害、爆发或范围伤害；治疗量固定。</x:v>
      </x:c>
      <x:c r="N8" s="11" t="str">
        <x:v>击杀表现仅分摊所属波固定预算；数量、复活、临时援军不增加预算。临时召援不产永久XP或骨头。</x:v>
      </x:c>
    </x:row>
    <x:row r="9" ht="57" customHeight="1">
      <x:c r="A9" s="3" t="str">
        <x:v>E05</x:v>
      </x:c>
      <x:c r="B9" s="3" t="str">
        <x:v>村堡领主·欠薪的奥托</x:v>
      </x:c>
      <x:c r="C9" s="12" t="n">
        <x:v>1</x:v>
      </x:c>
      <x:c r="D9" s="3" t="str">
        <x:v>章首领/近战指挥</x:v>
      </x:c>
      <x:c r="E9" s="12" t="n">
        <x:v>1400</x:v>
      </x:c>
      <x:c r="F9" s="12" t="n">
        <x:v>24</x:v>
      </x:c>
      <x:c r="G9" s="12" t="n">
        <x:v>20</x:v>
      </x:c>
      <x:c r="H9" s="12" t="n">
        <x:v>0.65</x:v>
      </x:c>
      <x:c r="I9" s="12" t="n">
        <x:v>0.8</x:v>
      </x:c>
      <x:c r="J9" s="12" t="n">
        <x:v>1.5</x:v>
      </x:c>
      <x:c r="K9" s="3" t="str">
        <x:v>生命首次低于70%和35%时各召来1名E01，全战最多2只。每8秒蓄力1秒，对最近目标及其后方距离≤1.5的1个目标造成130%ATK物理伤害。</x:v>
      </x:c>
      <x:c r="L9" s="3" t="str">
        <x:v>阈值召援与双目标重击。</x:v>
      </x:c>
      <x:c r="M9" s="3" t="str">
        <x:v>保留第二名前排，错开脆弱主核；范围清援，持续伤害处理本体。</x:v>
      </x:c>
      <x:c r="N9" s="3" t="str">
        <x:v>击杀表现仅分摊所属波固定预算；数量、复活、临时援军不增加预算。临时召援不产永久XP或骨头。</x:v>
      </x:c>
    </x:row>
    <x:row r="10" ht="57" customHeight="1">
      <x:c r="A10" s="11" t="str">
        <x:v>E06</x:v>
      </x:c>
      <x:c r="B10" s="11" t="str">
        <x:v>城防戟兵</x:v>
      </x:c>
      <x:c r="C10" s="13" t="n">
        <x:v>2</x:v>
      </x:c>
      <x:c r="D10" s="11" t="str">
        <x:v>破阵近战</x:v>
      </x:c>
      <x:c r="E10" s="13" t="n">
        <x:v>230</x:v>
      </x:c>
      <x:c r="F10" s="13" t="n">
        <x:v>20</x:v>
      </x:c>
      <x:c r="G10" s="13" t="n">
        <x:v>15</x:v>
      </x:c>
      <x:c r="H10" s="13" t="n">
        <x:v>0.65</x:v>
      </x:c>
      <x:c r="I10" s="13" t="n">
        <x:v>0.9</x:v>
      </x:c>
      <x:c r="J10" s="13" t="n">
        <x:v>1.6</x:v>
      </x:c>
      <x:c r="K10" s="11" t="str">
        <x:v>每第3次普攻额外攻击主目标后方最近1个、距主目标≤1.4的目标，副目标承受60%ATK物理伤害。</x:v>
      </x:c>
      <x:c r="L10" s="11" t="str">
        <x:v>站位过密时伤害穿过前排。</x:v>
      </x:c>
      <x:c r="M10" s="11" t="str">
        <x:v>把核心移出前排背后的直线受击带；护盾或副坦承受穿刺。</x:v>
      </x:c>
      <x:c r="N10" s="11" t="str">
        <x:v>击杀表现仅分摊所属波固定预算；数量、复活、临时援军不增加预算。临时召援不产永久XP或骨头。</x:v>
      </x:c>
    </x:row>
    <x:row r="11" ht="57" customHeight="1">
      <x:c r="A11" s="3" t="str">
        <x:v>E07</x:v>
      </x:c>
      <x:c r="B11" s="3" t="str">
        <x:v>城墙弩手</x:v>
      </x:c>
      <x:c r="C11" s="12" t="n">
        <x:v>2</x:v>
      </x:c>
      <x:c r="D11" s="3" t="str">
        <x:v>慢速高伤远程</x:v>
      </x:c>
      <x:c r="E11" s="12" t="n">
        <x:v>160</x:v>
      </x:c>
      <x:c r="F11" s="12" t="n">
        <x:v>23</x:v>
      </x:c>
      <x:c r="G11" s="12" t="n">
        <x:v>5</x:v>
      </x:c>
      <x:c r="H11" s="12" t="n">
        <x:v>0.6</x:v>
      </x:c>
      <x:c r="I11" s="12" t="n">
        <x:v>0.75</x:v>
      </x:c>
      <x:c r="J11" s="12" t="n">
        <x:v>6.5</x:v>
      </x:c>
      <x:c r="K11" s="3" t="str">
        <x:v>普攻物理，对带护盾目标造成125%伤害；攻击前0.5秒有瞄准提示；不会在目标死亡后保留强化攻击。</x:v>
      </x:c>
      <x:c r="L11" s="3" t="str">
        <x:v>高单次伤害和反护盾压力。</x:v>
      </x:c>
      <x:c r="M11" s="3" t="str">
        <x:v>召唤物分担射击、治疗或后排打击；不依赖护盾一种防御。</x:v>
      </x:c>
      <x:c r="N11" s="3" t="str">
        <x:v>击杀表现仅分摊所属波固定预算；数量、复活、临时援军不增加预算。临时召援不产永久XP或骨头。</x:v>
      </x:c>
    </x:row>
    <x:row r="12" ht="57" customHeight="1">
      <x:c r="A12" s="11" t="str">
        <x:v>E08</x:v>
      </x:c>
      <x:c r="B12" s="11" t="str">
        <x:v>随军军牧</x:v>
      </x:c>
      <x:c r="C12" s="13" t="n">
        <x:v>2</x:v>
      </x:c>
      <x:c r="D12" s="11" t="str">
        <x:v>治疗/保护</x:v>
      </x:c>
      <x:c r="E12" s="13" t="n">
        <x:v>175</x:v>
      </x:c>
      <x:c r="F12" s="13" t="n">
        <x:v>8</x:v>
      </x:c>
      <x:c r="G12" s="13" t="n">
        <x:v>5</x:v>
      </x:c>
      <x:c r="H12" s="13" t="n">
        <x:v>0.6</x:v>
      </x:c>
      <x:c r="I12" s="13" t="n">
        <x:v>0.85</x:v>
      </x:c>
      <x:c r="J12" s="13" t="n">
        <x:v>4.5</x:v>
      </x:c>
      <x:c r="K12" s="11" t="str">
        <x:v>入场4秒后首次施法，此后每7秒治疗范围6内生命比例最低友军32HP，并给予20护盾、持续4秒；同一军牧重复施加覆盖旧份，不同来源按BONE_ARMOR规则相加且受最大HP60%上限限制。</x:v>
      </x:c>
      <x:c r="L12" s="11" t="str">
        <x:v>保护残血精锐，延迟击杀链启动。</x:v>
      </x:c>
      <x:c r="M12" s="11" t="str">
        <x:v>范围伤害、集中攻击或爆发；形成穿过前排的输出链。</x:v>
      </x:c>
      <x:c r="N12" s="11" t="str">
        <x:v>击杀表现仅分摊所属波固定预算；数量、复活、临时援军不增加预算。临时召援不产永久XP或骨头。</x:v>
      </x:c>
    </x:row>
    <x:row r="13" ht="57" customHeight="1">
      <x:c r="A13" s="3" t="str">
        <x:v>E09</x:v>
      </x:c>
      <x:c r="B13" s="3" t="str">
        <x:v>火油工兵</x:v>
      </x:c>
      <x:c r="C13" s="12" t="n">
        <x:v>2</x:v>
      </x:c>
      <x:c r="D13" s="3" t="str">
        <x:v>范围持续伤害</x:v>
      </x:c>
      <x:c r="E13" s="12" t="n">
        <x:v>170</x:v>
      </x:c>
      <x:c r="F13" s="12" t="n">
        <x:v>16</x:v>
      </x:c>
      <x:c r="G13" s="12" t="n">
        <x:v>5</x:v>
      </x:c>
      <x:c r="H13" s="12" t="n">
        <x:v>0.65</x:v>
      </x:c>
      <x:c r="I13" s="12" t="n">
        <x:v>0.8</x:v>
      </x:c>
      <x:c r="J13" s="12" t="n">
        <x:v>4</x:v>
      </x:c>
      <x:c r="K13" s="3" t="str">
        <x:v>每8秒向最近目标投火油，落点提前1秒显示；半径1.3内造成50%ATK法术伤害并施加BURN：2法术伤害/秒、持续4秒；叠加与WET交互严格遵守统一BURN状态。</x:v>
      </x:c>
      <x:c r="L13" s="3" t="str">
        <x:v>聚集团体和低生命召唤物受范围损耗。</x:v>
      </x:c>
      <x:c r="M13" s="3" t="str">
        <x:v>分散关键单位，用临时召唤承接落点；所有核心不要贴同一坦克。</x:v>
      </x:c>
      <x:c r="N13" s="3" t="str">
        <x:v>击杀表现仅分摊所属波固定预算；数量、复活、临时援军不增加预算。临时召援不产永久XP或骨头。</x:v>
      </x:c>
    </x:row>
    <x:row r="14" ht="57" customHeight="1">
      <x:c r="A14" s="11" t="str">
        <x:v>E10</x:v>
      </x:c>
      <x:c r="B14" s="11" t="str">
        <x:v>外城伯爵·收税者赫曼</x:v>
      </x:c>
      <x:c r="C14" s="13" t="n">
        <x:v>2</x:v>
      </x:c>
      <x:c r="D14" s="11" t="str">
        <x:v>章首领/范围压制</x:v>
      </x:c>
      <x:c r="E14" s="13" t="n">
        <x:v>3000</x:v>
      </x:c>
      <x:c r="F14" s="13" t="n">
        <x:v>40</x:v>
      </x:c>
      <x:c r="G14" s="13" t="n">
        <x:v>30</x:v>
      </x:c>
      <x:c r="H14" s="13" t="n">
        <x:v>0.65</x:v>
      </x:c>
      <x:c r="I14" s="13" t="n">
        <x:v>0.8</x:v>
      </x:c>
      <x:c r="J14" s="13" t="n">
        <x:v>1.6</x:v>
      </x:c>
      <x:c r="K14" s="11" t="str">
        <x:v>每8秒蓄力1秒，打击前方半径1.6内最多3目标，造成140%ATK物理伤害；每10秒让最近2名友军ATK+20%、持续4秒，同源刷新。</x:v>
      </x:c>
      <x:c r="L14" s="11" t="str">
        <x:v>范围攻击与强化守军的周期爆发。</x:v>
      </x:c>
      <x:c r="M14" s="11" t="str">
        <x:v>分散坦克、清理守军、间歇恢复；法术/持续伤害克服高护甲。</x:v>
      </x:c>
      <x:c r="N14" s="11" t="str">
        <x:v>击杀表现仅分摊所属波固定预算；数量、复活、临时援军不增加预算。临时召援不产永久XP或骨头。</x:v>
      </x:c>
    </x:row>
    <x:row r="15" ht="57" customHeight="1">
      <x:c r="A15" s="3" t="str">
        <x:v>E11</x:v>
      </x:c>
      <x:c r="B15" s="3" t="str">
        <x:v>王庭禁卫</x:v>
      </x:c>
      <x:c r="C15" s="12" t="n">
        <x:v>3</x:v>
      </x:c>
      <x:c r="D15" s="3" t="str">
        <x:v>重甲/护盾</x:v>
      </x:c>
      <x:c r="E15" s="12" t="n">
        <x:v>360</x:v>
      </x:c>
      <x:c r="F15" s="12" t="n">
        <x:v>28</x:v>
      </x:c>
      <x:c r="G15" s="12" t="n">
        <x:v>40</x:v>
      </x:c>
      <x:c r="H15" s="12" t="n">
        <x:v>0.65</x:v>
      </x:c>
      <x:c r="I15" s="12" t="n">
        <x:v>0.8</x:v>
      </x:c>
      <x:c r="J15" s="12" t="n">
        <x:v>1.3</x:v>
      </x:c>
      <x:c r="K15" s="3" t="str">
        <x:v>入场获得80护盾，持续至本波结束，仅1次，遵守BONE_ARMOR公共上限；护盾被伤害打至0时ATK+20%、3秒，每单位每波仅触发1次，自然到期不触发。</x:v>
      </x:c>
      <x:c r="L15" s="3" t="str">
        <x:v>前期吸收输出，破盾短暂反击。</x:v>
      </x:c>
      <x:c r="M15" s="3" t="str">
        <x:v>穿透/法术处理护甲；预留破盾后的承伤余量。</x:v>
      </x:c>
      <x:c r="N15" s="3" t="str">
        <x:v>击杀表现仅分摊所属波固定预算；数量、复活、临时援军不增加预算。临时召援不产永久XP或骨头。</x:v>
      </x:c>
    </x:row>
    <x:row r="16" ht="57" customHeight="1">
      <x:c r="A16" s="11" t="str">
        <x:v>E12</x:v>
      </x:c>
      <x:c r="B16" s="11" t="str">
        <x:v>净骨审判官</x:v>
      </x:c>
      <x:c r="C16" s="13" t="n">
        <x:v>3</x:v>
      </x:c>
      <x:c r="D16" s="11" t="str">
        <x:v>反召唤远程</x:v>
      </x:c>
      <x:c r="E16" s="13" t="n">
        <x:v>260</x:v>
      </x:c>
      <x:c r="F16" s="13" t="n">
        <x:v>26</x:v>
      </x:c>
      <x:c r="G16" s="13" t="n">
        <x:v>10</x:v>
      </x:c>
      <x:c r="H16" s="13" t="n">
        <x:v>0.6</x:v>
      </x:c>
      <x:c r="I16" s="13" t="n">
        <x:v>0.85</x:v>
      </x:c>
      <x:c r="J16" s="13" t="n">
        <x:v>6.5</x:v>
      </x:c>
      <x:c r="K16" s="11" t="str">
        <x:v>普攻对临时召唤物伤害+30%，对正式兵无额外倍率；每7秒削去最近目标40护盾，只移除已有护盾，不造成溢出伤害。</x:v>
      </x:c>
      <x:c r="L16" s="11" t="str">
        <x:v>削弱单靠临时召唤和护盾硬扛的效率，不封禁召唤。</x:v>
      </x:c>
      <x:c r="M16" s="11" t="str">
        <x:v>正式前排分担压力；死亡收益和快速补召仍有效；输出尽早覆盖审判官。</x:v>
      </x:c>
      <x:c r="N16" s="11" t="str">
        <x:v>击杀表现仅分摊所属波固定预算；数量、复活、临时援军不增加预算。临时召援不产永久XP或骨头。</x:v>
      </x:c>
    </x:row>
    <x:row r="17" ht="57" customHeight="1">
      <x:c r="A17" s="3" t="str">
        <x:v>E13</x:v>
      </x:c>
      <x:c r="B17" s="3" t="str">
        <x:v>王室颂歌祭司</x:v>
      </x:c>
      <x:c r="C17" s="12" t="n">
        <x:v>3</x:v>
      </x:c>
      <x:c r="D17" s="3" t="str">
        <x:v>治疗/群体增益</x:v>
      </x:c>
      <x:c r="E17" s="12" t="n">
        <x:v>280</x:v>
      </x:c>
      <x:c r="F17" s="12" t="n">
        <x:v>10</x:v>
      </x:c>
      <x:c r="G17" s="12" t="n">
        <x:v>10</x:v>
      </x:c>
      <x:c r="H17" s="12" t="n">
        <x:v>0.6</x:v>
      </x:c>
      <x:c r="I17" s="12" t="n">
        <x:v>0.8</x:v>
      </x:c>
      <x:c r="J17" s="12" t="n">
        <x:v>4.5</x:v>
      </x:c>
      <x:c r="K17" s="3" t="str">
        <x:v>每7秒治疗生命比例最低友军50HP；每10秒给范围5内最近2名友军1层HASTE、持续4秒(APS+15%)，叠加与攻速上限遵守统一状态。</x:v>
      </x:c>
      <x:c r="L17" s="3" t="str">
        <x:v>增益放大其他敌人的压力。</x:v>
      </x:c>
      <x:c r="M17" s="3" t="str">
        <x:v>尽快威胁支援位；治疗和增益无无限成长。</x:v>
      </x:c>
      <x:c r="N17" s="3" t="str">
        <x:v>击杀表现仅分摊所属波固定预算；数量、复活、临时援军不增加预算。临时召援不产永久XP或骨头。</x:v>
      </x:c>
    </x:row>
    <x:row r="18" ht="57" customHeight="1">
      <x:c r="A18" s="11" t="str">
        <x:v>E14</x:v>
      </x:c>
      <x:c r="B18" s="11" t="str">
        <x:v>雷矛骑士</x:v>
      </x:c>
      <x:c r="C18" s="13" t="n">
        <x:v>3</x:v>
      </x:c>
      <x:c r="D18" s="11" t="str">
        <x:v>法术穿透打击</x:v>
      </x:c>
      <x:c r="E18" s="13" t="n">
        <x:v>310</x:v>
      </x:c>
      <x:c r="F18" s="13" t="n">
        <x:v>33</x:v>
      </x:c>
      <x:c r="G18" s="13" t="n">
        <x:v>20</x:v>
      </x:c>
      <x:c r="H18" s="13" t="n">
        <x:v>0.7</x:v>
      </x:c>
      <x:c r="I18" s="13" t="n">
        <x:v>1.1</x:v>
      </x:c>
      <x:c r="J18" s="13" t="n">
        <x:v>2.2</x:v>
      </x:c>
      <x:c r="K18" s="11" t="str">
        <x:v>每7秒对最近目标及其后方距离≤1.8的1个目标放电，分别造成90%与60%ATK法术伤害；总共只打2目标，不递归弹射。</x:v>
      </x:c>
      <x:c r="L18" s="11" t="str">
        <x:v>护甲难以覆盖的双目标法术爆发。</x:v>
      </x:c>
      <x:c r="M18" s="11" t="str">
        <x:v>错开核心与前排纵深；护盾、治疗、分散承伤。</x:v>
      </x:c>
      <x:c r="N18" s="11" t="str">
        <x:v>击杀表现仅分摊所属波固定预算；数量、复活、临时援军不增加预算。临时召援不产永久XP或骨头。</x:v>
      </x:c>
    </x:row>
    <x:row r="19" ht="57" customHeight="1">
      <x:c r="A19" s="3" t="str">
        <x:v>E15</x:v>
      </x:c>
      <x:c r="B19" s="3" t="str">
        <x:v>末代国王·最后的在职者</x:v>
      </x:c>
      <x:c r="C19" s="12" t="n">
        <x:v>3</x:v>
      </x:c>
      <x:c r="D19" s="3" t="str">
        <x:v>终局首领</x:v>
      </x:c>
      <x:c r="E19" s="12" t="n">
        <x:v>5200</x:v>
      </x:c>
      <x:c r="F19" s="12" t="n">
        <x:v>58</x:v>
      </x:c>
      <x:c r="G19" s="12" t="n">
        <x:v>40</x:v>
      </x:c>
      <x:c r="H19" s="12" t="n">
        <x:v>0.65</x:v>
      </x:c>
      <x:c r="I19" s="12" t="n">
        <x:v>0.75</x:v>
      </x:c>
      <x:c r="J19" s="12" t="n">
        <x:v>1.8</x:v>
      </x:c>
      <x:c r="K19" s="3" t="str">
        <x:v>生命首次低于70%和35%时各召1名E11，全战最多2只；每9秒蓄力1.2秒，对前方半径1.8内最多3目标造成140%ATK物理伤害；生命&lt;35%时APS+15%，仅1次。</x:v>
      </x:c>
      <x:c r="L19" s="3" t="str">
        <x:v>高持续压力、公开阈值召援与终局加速；不免疫整个流派。</x:v>
      </x:c>
      <x:c r="M19" s="3" t="str">
        <x:v>稳定前排、持续输出及清援；保持后排间距，面对公开机制调整构筑。</x:v>
      </x:c>
      <x:c r="N19" s="3" t="str">
        <x:v>击杀表现仅分摊所属波固定预算；数量、复活、临时援军不增加预算。临时召援不产永久XP或骨头。</x:v>
      </x:c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6c231dbf5dcd4c20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7.219999313354492" hidden="0" customWidth="1"/>
    <x:col min="2" max="2" width="7.78000020980835" hidden="0" customWidth="1"/>
    <x:col min="3" max="3" width="10" hidden="0" customWidth="1"/>
    <x:col min="4" max="4" width="11.109999656677246" hidden="0" customWidth="1"/>
    <x:col min="5" max="5" width="7.21999979019165" hidden="0" customWidth="1"/>
    <x:col min="6" max="6" width="37.779998779296875" hidden="0" customWidth="1"/>
    <x:col min="7" max="7" width="41.11000061035156" hidden="0" customWidth="1"/>
    <x:col min="8" max="8" width="33.33000183105469" hidden="0" customWidth="1"/>
    <x:col min="9" max="9" width="33.3300018310546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5" t="str">
        <x:v>三章36个遭遇模板</x:v>
      </x:c>
      <x:c r="B2" s="4"/>
      <x:c r="C2" s="4"/>
      <x:c r="D2" s="4"/>
      <x:c r="E2" s="4"/>
      <x:c r="F2" s="4"/>
      <x:c r="G2" s="4"/>
      <x:c r="H2" s="4"/>
      <x:c r="I2" s="4"/>
    </x:row>
    <x:row r="3">
      <x:c r="A3" s="4" t="str">
        <x:v>每章第1层普通 第3层普通 第3层精英 首领各3波。每局只选一条路线，实际27波。</x:v>
      </x:c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波次ID</x:v>
      </x:c>
      <x:c r="B4" s="10" t="str">
        <x:v>章节</x:v>
      </x:c>
      <x:c r="C4" s="10" t="str">
        <x:v>路线层</x:v>
      </x:c>
      <x:c r="D4" s="10" t="str">
        <x:v>节点ID</x:v>
      </x:c>
      <x:c r="E4" s="10" t="str">
        <x:v>波号</x:v>
      </x:c>
      <x:c r="F4" s="10" t="str">
        <x:v>敌军ID和数量</x:v>
      </x:c>
      <x:c r="G4" s="10" t="str">
        <x:v>特殊规则</x:v>
      </x:c>
      <x:c r="H4" s="10" t="str">
        <x:v>主要威胁</x:v>
      </x:c>
      <x:c r="I4" s="10" t="str">
        <x:v>预算提示</x:v>
      </x:c>
    </x:row>
    <x:row r="5" ht="57" customHeight="1">
      <x:c r="A5" s="3" t="str">
        <x:v>EN01</x:v>
      </x:c>
      <x:c r="B5" s="12" t="n">
        <x:v>1</x:v>
      </x:c>
      <x:c r="C5" s="12" t="n">
        <x:v>1</x:v>
      </x:c>
      <x:c r="D5" s="3" t="str">
        <x:v>N01</x:v>
      </x:c>
      <x:c r="E5" s="12" t="n">
        <x:v>1</x:v>
      </x:c>
      <x:c r="F5" s="3" t="str">
        <x:v>E01:3</x:v>
      </x:c>
      <x:c r="G5" s="3" t="str">
        <x:v>基础近战教学波；无隐藏增援。</x:v>
      </x:c>
      <x:c r="H5" s="3" t="str">
        <x:v>先建立稳定前排。</x:v>
      </x:c>
      <x:c r="I5" s="3" t="str">
        <x:v>基础总HP=330，不含护盾/治疗/召援；清波固定4骨。未平衡初值，总HP不等于战力。</x:v>
      </x:c>
    </x:row>
    <x:row r="6" ht="57" customHeight="1">
      <x:c r="A6" s="11" t="str">
        <x:v>EN02</x:v>
      </x:c>
      <x:c r="B6" s="13" t="n">
        <x:v>1</x:v>
      </x:c>
      <x:c r="C6" s="13" t="n">
        <x:v>1</x:v>
      </x:c>
      <x:c r="D6" s="11" t="str">
        <x:v>N01</x:v>
      </x:c>
      <x:c r="E6" s="13" t="n">
        <x:v>2</x:v>
      </x:c>
      <x:c r="F6" s="11" t="str">
        <x:v>E01:2,E03:1</x:v>
      </x:c>
      <x:c r="G6" s="11" t="str">
        <x:v>远程首次入场，预览第四箭强化。</x:v>
      </x:c>
      <x:c r="H6" s="11" t="str">
        <x:v>前排掩护射手。</x:v>
      </x:c>
      <x:c r="I6" s="11" t="str">
        <x:v>基础总HP=300，不含护盾/治疗/召援；清波固定4骨。未平衡初值，总HP不等于战力。</x:v>
      </x:c>
    </x:row>
    <x:row r="7" ht="57" customHeight="1">
      <x:c r="A7" s="3" t="str">
        <x:v>EN03</x:v>
      </x:c>
      <x:c r="B7" s="12" t="n">
        <x:v>1</x:v>
      </x:c>
      <x:c r="C7" s="12" t="n">
        <x:v>1</x:v>
      </x:c>
      <x:c r="D7" s="3" t="str">
        <x:v>N01</x:v>
      </x:c>
      <x:c r="E7" s="12" t="n">
        <x:v>3</x:v>
      </x:c>
      <x:c r="F7" s="3" t="str">
        <x:v>E02:1,E01:2,E03:1</x:v>
      </x:c>
      <x:c r="G7" s="3" t="str">
        <x:v>首次护盾前排，不加入治疗。</x:v>
      </x:c>
      <x:c r="H7" s="3" t="str">
        <x:v>承伤与触及后排的分工。</x:v>
      </x:c>
      <x:c r="I7" s="3" t="str">
        <x:v>基础总HP=480，不含护盾/治疗/召援；清波固定4骨。未平衡初值，总HP不等于战力。</x:v>
      </x:c>
    </x:row>
    <x:row r="8" ht="57" customHeight="1">
      <x:c r="A8" s="11" t="str">
        <x:v>EN04</x:v>
      </x:c>
      <x:c r="B8" s="13" t="n">
        <x:v>1</x:v>
      </x:c>
      <x:c r="C8" s="13" t="n">
        <x:v>3</x:v>
      </x:c>
      <x:c r="D8" s="11" t="str">
        <x:v>N01</x:v>
      </x:c>
      <x:c r="E8" s="13" t="n">
        <x:v>1</x:v>
      </x:c>
      <x:c r="F8" s="11" t="str">
        <x:v>E01:3,E03:1</x:v>
      </x:c>
      <x:c r="G8" s="11" t="str">
        <x:v>第3层普通专用阵容。</x:v>
      </x:c>
      <x:c r="H8" s="11" t="str">
        <x:v>民兵掩护猎户。</x:v>
      </x:c>
      <x:c r="I8" s="11" t="str">
        <x:v>基础总HP=410，不含护盾/治疗/召援；清波固定4骨。未平衡初值，总HP不等于战力。</x:v>
      </x:c>
    </x:row>
    <x:row r="9" ht="57" customHeight="1">
      <x:c r="A9" s="3" t="str">
        <x:v>EN05</x:v>
      </x:c>
      <x:c r="B9" s="12" t="n">
        <x:v>1</x:v>
      </x:c>
      <x:c r="C9" s="12" t="n">
        <x:v>3</x:v>
      </x:c>
      <x:c r="D9" s="3" t="str">
        <x:v>N01</x:v>
      </x:c>
      <x:c r="E9" s="12" t="n">
        <x:v>2</x:v>
      </x:c>
      <x:c r="F9" s="3" t="str">
        <x:v>E02:2,E03:1</x:v>
      </x:c>
      <x:c r="G9" s="3" t="str">
        <x:v>两面盾兵前排；不刷新护盾。</x:v>
      </x:c>
      <x:c r="H9" s="3" t="str">
        <x:v>单点物理需要更长突破时间。</x:v>
      </x:c>
      <x:c r="I9" s="3" t="str">
        <x:v>基础总HP=440，不含护盾/治疗/召援；清波固定4骨。未平衡初值，总HP不等于战力。</x:v>
      </x:c>
    </x:row>
    <x:row r="10" ht="57" customHeight="1">
      <x:c r="A10" s="11" t="str">
        <x:v>EN06</x:v>
      </x:c>
      <x:c r="B10" s="13" t="n">
        <x:v>1</x:v>
      </x:c>
      <x:c r="C10" s="13" t="n">
        <x:v>3</x:v>
      </x:c>
      <x:c r="D10" s="11" t="str">
        <x:v>N01</x:v>
      </x:c>
      <x:c r="E10" s="13" t="n">
        <x:v>3</x:v>
      </x:c>
      <x:c r="F10" s="11" t="str">
        <x:v>E02:1,E03:2,E04:1</x:v>
      </x:c>
      <x:c r="G10" s="11" t="str">
        <x:v>加入单体治疗，所有技能按敌人表。</x:v>
      </x:c>
      <x:c r="H10" s="11" t="str">
        <x:v>集中伤害与切入后排。</x:v>
      </x:c>
      <x:c r="I10" s="11" t="str">
        <x:v>基础总HP=445，不含护盾/治疗/召援；清波固定4骨。未平衡初值，总HP不等于战力。</x:v>
      </x:c>
    </x:row>
    <x:row r="11" ht="57" customHeight="1">
      <x:c r="A11" s="3" t="str">
        <x:v>EN07</x:v>
      </x:c>
      <x:c r="B11" s="12" t="n">
        <x:v>1</x:v>
      </x:c>
      <x:c r="C11" s="12" t="n">
        <x:v>3</x:v>
      </x:c>
      <x:c r="D11" s="3" t="str">
        <x:v>N02</x:v>
      </x:c>
      <x:c r="E11" s="12" t="n">
        <x:v>1</x:v>
      </x:c>
      <x:c r="F11" s="3" t="str">
        <x:v>E02:2,E01:2</x:v>
      </x:c>
      <x:c r="G11" s="3" t="str">
        <x:v>精英强度来自阵容；无隐藏属性倍率。</x:v>
      </x:c>
      <x:c r="H11" s="3" t="str">
        <x:v>双盾消耗输出时间。</x:v>
      </x:c>
      <x:c r="I11" s="3" t="str">
        <x:v>基础总HP=580，不含护盾/治疗/召援；清波固定5骨。未平衡初值，总HP不等于战力。</x:v>
      </x:c>
    </x:row>
    <x:row r="12" ht="57" customHeight="1">
      <x:c r="A12" s="11" t="str">
        <x:v>EN08</x:v>
      </x:c>
      <x:c r="B12" s="13" t="n">
        <x:v>1</x:v>
      </x:c>
      <x:c r="C12" s="13" t="n">
        <x:v>3</x:v>
      </x:c>
      <x:c r="D12" s="11" t="str">
        <x:v>N02</x:v>
      </x:c>
      <x:c r="E12" s="13" t="n">
        <x:v>2</x:v>
      </x:c>
      <x:c r="F12" s="11" t="str">
        <x:v>E03:3,E04:1</x:v>
      </x:c>
      <x:c r="G12" s="11" t="str">
        <x:v>猎户分列后侧，不全挤一个范围点。</x:v>
      </x:c>
      <x:c r="H12" s="11" t="str">
        <x:v>高远程压力但前排较薄。</x:v>
      </x:c>
      <x:c r="I12" s="11" t="str">
        <x:v>基础总HP=345，不含护盾/治疗/召援；清波固定5骨。未平衡初值，总HP不等于战力。</x:v>
      </x:c>
    </x:row>
    <x:row r="13" ht="57" customHeight="1">
      <x:c r="A13" s="3" t="str">
        <x:v>EN09</x:v>
      </x:c>
      <x:c r="B13" s="12" t="n">
        <x:v>1</x:v>
      </x:c>
      <x:c r="C13" s="12" t="n">
        <x:v>3</x:v>
      </x:c>
      <x:c r="D13" s="3" t="str">
        <x:v>N02</x:v>
      </x:c>
      <x:c r="E13" s="12" t="n">
        <x:v>3</x:v>
      </x:c>
      <x:c r="F13" s="3" t="str">
        <x:v>E02:2,E03:2,E04:1</x:v>
      </x:c>
      <x:c r="G13" s="3" t="str">
        <x:v>盾/射手/治疗的完整组合。</x:v>
      </x:c>
      <x:c r="H13" s="3" t="str">
        <x:v>检验初步BUILD完整度。</x:v>
      </x:c>
      <x:c r="I13" s="3" t="str">
        <x:v>基础总HP=625，不含护盾/治疗/召援；清波固定5骨。未平衡初值，总HP不等于战力。</x:v>
      </x:c>
    </x:row>
    <x:row r="14" ht="57" customHeight="1">
      <x:c r="A14" s="11" t="str">
        <x:v>EN10</x:v>
      </x:c>
      <x:c r="B14" s="13" t="n">
        <x:v>1</x:v>
      </x:c>
      <x:c r="C14" s="13" t="n">
        <x:v>5</x:v>
      </x:c>
      <x:c r="D14" s="11" t="str">
        <x:v>N03</x:v>
      </x:c>
      <x:c r="E14" s="13" t="n">
        <x:v>1</x:v>
      </x:c>
      <x:c r="F14" s="11" t="str">
        <x:v>E01:4,E03:2</x:v>
      </x:c>
      <x:c r="G14" s="11" t="str">
        <x:v>村堡城门守军。</x:v>
      </x:c>
      <x:c r="H14" s="11" t="str">
        <x:v>清杂能力。</x:v>
      </x:c>
      <x:c r="I14" s="11" t="str">
        <x:v>基础总HP=600，不含护盾/治疗/召援；清波固定6骨。未平衡初值，总HP不等于战力。</x:v>
      </x:c>
    </x:row>
    <x:row r="15" ht="57" customHeight="1">
      <x:c r="A15" s="3" t="str">
        <x:v>EN11</x:v>
      </x:c>
      <x:c r="B15" s="12" t="n">
        <x:v>1</x:v>
      </x:c>
      <x:c r="C15" s="12" t="n">
        <x:v>5</x:v>
      </x:c>
      <x:c r="D15" s="3" t="str">
        <x:v>N03</x:v>
      </x:c>
      <x:c r="E15" s="12" t="n">
        <x:v>2</x:v>
      </x:c>
      <x:c r="F15" s="3" t="str">
        <x:v>E02:2,E03:2,E04:1</x:v>
      </x:c>
      <x:c r="G15" s="3" t="str">
        <x:v>村堡庭院防线。</x:v>
      </x:c>
      <x:c r="H15" s="3" t="str">
        <x:v>持续输出穿过治疗。</x:v>
      </x:c>
      <x:c r="I15" s="3" t="str">
        <x:v>基础总HP=625，不含护盾/治疗/召援；清波固定6骨。未平衡初值，总HP不等于战力。</x:v>
      </x:c>
    </x:row>
    <x:row r="16" ht="57" customHeight="1">
      <x:c r="A16" s="11" t="str">
        <x:v>EN12</x:v>
      </x:c>
      <x:c r="B16" s="13" t="n">
        <x:v>1</x:v>
      </x:c>
      <x:c r="C16" s="13" t="n">
        <x:v>5</x:v>
      </x:c>
      <x:c r="D16" s="11" t="str">
        <x:v>N03</x:v>
      </x:c>
      <x:c r="E16" s="13" t="n">
        <x:v>3</x:v>
      </x:c>
      <x:c r="F16" s="11" t="str">
        <x:v>E05:1,E03:2</x:v>
      </x:c>
      <x:c r="G16" s="11" t="str">
        <x:v>领主70%/35%各召1名E01；援军无额外永久战利品。</x:v>
      </x:c>
      <x:c r="H16" s="11" t="str">
        <x:v>耐久、召援、双目标重击。</x:v>
      </x:c>
      <x:c r="I16" s="11" t="str">
        <x:v>基础总HP=1560，不含护盾/治疗/召援；清波固定6骨。未平衡初值，总HP不等于战力。</x:v>
      </x:c>
    </x:row>
    <x:row r="17" ht="57" customHeight="1">
      <x:c r="A17" s="3" t="str">
        <x:v>EN13</x:v>
      </x:c>
      <x:c r="B17" s="12" t="n">
        <x:v>2</x:v>
      </x:c>
      <x:c r="C17" s="12" t="n">
        <x:v>1</x:v>
      </x:c>
      <x:c r="D17" s="3" t="str">
        <x:v>N01</x:v>
      </x:c>
      <x:c r="E17" s="12" t="n">
        <x:v>1</x:v>
      </x:c>
      <x:c r="F17" s="3" t="str">
        <x:v>E06:2,E07:1</x:v>
      </x:c>
      <x:c r="G17" s="3" t="str">
        <x:v>介绍穿刺，不叠火油。</x:v>
      </x:c>
      <x:c r="H17" s="3" t="str">
        <x:v>紧贴坦克的脆弱后排被穿透。</x:v>
      </x:c>
      <x:c r="I17" s="3" t="str">
        <x:v>基础总HP=620，不含护盾/治疗/召援；清波固定5骨。未平衡初值，总HP不等于战力。</x:v>
      </x:c>
    </x:row>
    <x:row r="18" ht="57" customHeight="1">
      <x:c r="A18" s="11" t="str">
        <x:v>EN14</x:v>
      </x:c>
      <x:c r="B18" s="13" t="n">
        <x:v>2</x:v>
      </x:c>
      <x:c r="C18" s="13" t="n">
        <x:v>1</x:v>
      </x:c>
      <x:c r="D18" s="11" t="str">
        <x:v>N01</x:v>
      </x:c>
      <x:c r="E18" s="13" t="n">
        <x:v>2</x:v>
      </x:c>
      <x:c r="F18" s="11" t="str">
        <x:v>E06:2,E08:1</x:v>
      </x:c>
      <x:c r="G18" s="11" t="str">
        <x:v>首次军牧护盾治疗。</x:v>
      </x:c>
      <x:c r="H18" s="11" t="str">
        <x:v>治疗拖延击杀。</x:v>
      </x:c>
      <x:c r="I18" s="11" t="str">
        <x:v>基础总HP=635，不含护盾/治疗/召援；清波固定5骨。未平衡初值，总HP不等于战力。</x:v>
      </x:c>
    </x:row>
    <x:row r="19" ht="57" customHeight="1">
      <x:c r="A19" s="3" t="str">
        <x:v>EN15</x:v>
      </x:c>
      <x:c r="B19" s="12" t="n">
        <x:v>2</x:v>
      </x:c>
      <x:c r="C19" s="12" t="n">
        <x:v>1</x:v>
      </x:c>
      <x:c r="D19" s="3" t="str">
        <x:v>N01</x:v>
      </x:c>
      <x:c r="E19" s="12" t="n">
        <x:v>3</x:v>
      </x:c>
      <x:c r="F19" s="3" t="str">
        <x:v>E06:2,E07:2,E09:1</x:v>
      </x:c>
      <x:c r="G19" s="3" t="str">
        <x:v>火油落点提前1秒显示，不跨波留存。</x:v>
      </x:c>
      <x:c r="H19" s="3" t="str">
        <x:v>范围点燃与远程同时存在。</x:v>
      </x:c>
      <x:c r="I19" s="3" t="str">
        <x:v>基础总HP=950，不含护盾/治疗/召援；清波固定5骨。未平衡初值，总HP不等于战力。</x:v>
      </x:c>
    </x:row>
    <x:row r="20" ht="57" customHeight="1">
      <x:c r="A20" s="11" t="str">
        <x:v>EN16</x:v>
      </x:c>
      <x:c r="B20" s="13" t="n">
        <x:v>2</x:v>
      </x:c>
      <x:c r="C20" s="13" t="n">
        <x:v>3</x:v>
      </x:c>
      <x:c r="D20" s="11" t="str">
        <x:v>N01</x:v>
      </x:c>
      <x:c r="E20" s="13" t="n">
        <x:v>1</x:v>
      </x:c>
      <x:c r="F20" s="11" t="str">
        <x:v>E06:3,E07:1</x:v>
      </x:c>
      <x:c r="G20" s="11" t="str">
        <x:v>第3层普通专用阵容。</x:v>
      </x:c>
      <x:c r="H20" s="11" t="str">
        <x:v>前线穿刺压力。</x:v>
      </x:c>
      <x:c r="I20" s="11" t="str">
        <x:v>基础总HP=850，不含护盾/治疗/召援；清波固定5骨。未平衡初值，总HP不等于战力。</x:v>
      </x:c>
    </x:row>
    <x:row r="21" ht="57" customHeight="1">
      <x:c r="A21" s="3" t="str">
        <x:v>EN17</x:v>
      </x:c>
      <x:c r="B21" s="12" t="n">
        <x:v>2</x:v>
      </x:c>
      <x:c r="C21" s="12" t="n">
        <x:v>3</x:v>
      </x:c>
      <x:c r="D21" s="3" t="str">
        <x:v>N01</x:v>
      </x:c>
      <x:c r="E21" s="12" t="n">
        <x:v>2</x:v>
      </x:c>
      <x:c r="F21" s="3" t="str">
        <x:v>E06:2,E08:1,E09:1</x:v>
      </x:c>
      <x:c r="G21" s="3" t="str">
        <x:v>军牧1名，无隐藏治疗倍率。</x:v>
      </x:c>
      <x:c r="H21" s="3" t="str">
        <x:v>范围伤害针对聚集小单位。</x:v>
      </x:c>
      <x:c r="I21" s="3" t="str">
        <x:v>基础总HP=805，不含护盾/治疗/召援；清波固定5骨。未平衡初值，总HP不等于战力。</x:v>
      </x:c>
    </x:row>
    <x:row r="22" ht="57" customHeight="1">
      <x:c r="A22" s="11" t="str">
        <x:v>EN18</x:v>
      </x:c>
      <x:c r="B22" s="13" t="n">
        <x:v>2</x:v>
      </x:c>
      <x:c r="C22" s="13" t="n">
        <x:v>3</x:v>
      </x:c>
      <x:c r="D22" s="11" t="str">
        <x:v>N01</x:v>
      </x:c>
      <x:c r="E22" s="13" t="n">
        <x:v>3</x:v>
      </x:c>
      <x:c r="F22" s="11" t="str">
        <x:v>E06:2,E07:2,E08:1</x:v>
      </x:c>
      <x:c r="G22" s="11" t="str">
        <x:v>高单点弩手与治疗，无火油。</x:v>
      </x:c>
      <x:c r="H22" s="11" t="str">
        <x:v>护盾不能成为唯一防御。</x:v>
      </x:c>
      <x:c r="I22" s="11" t="str">
        <x:v>基础总HP=955，不含护盾/治疗/召援；清波固定5骨。未平衡初值，总HP不等于战力。</x:v>
      </x:c>
    </x:row>
    <x:row r="23" ht="57" customHeight="1">
      <x:c r="A23" s="3" t="str">
        <x:v>EN19</x:v>
      </x:c>
      <x:c r="B23" s="12" t="n">
        <x:v>2</x:v>
      </x:c>
      <x:c r="C23" s="12" t="n">
        <x:v>3</x:v>
      </x:c>
      <x:c r="D23" s="3" t="str">
        <x:v>N02</x:v>
      </x:c>
      <x:c r="E23" s="12" t="n">
        <x:v>1</x:v>
      </x:c>
      <x:c r="F23" s="3" t="str">
        <x:v>E06:3,E09:1</x:v>
      </x:c>
      <x:c r="G23" s="3" t="str">
        <x:v>精英无隐藏属性倍率。</x:v>
      </x:c>
      <x:c r="H23" s="3" t="str">
        <x:v>聚集前排承受火油。</x:v>
      </x:c>
      <x:c r="I23" s="3" t="str">
        <x:v>基础总HP=860，不含护盾/治疗/召援；清波固定6骨。未平衡初值，总HP不等于战力。</x:v>
      </x:c>
    </x:row>
    <x:row r="24" ht="57" customHeight="1">
      <x:c r="A24" s="11" t="str">
        <x:v>EN20</x:v>
      </x:c>
      <x:c r="B24" s="13" t="n">
        <x:v>2</x:v>
      </x:c>
      <x:c r="C24" s="13" t="n">
        <x:v>3</x:v>
      </x:c>
      <x:c r="D24" s="11" t="str">
        <x:v>N02</x:v>
      </x:c>
      <x:c r="E24" s="13" t="n">
        <x:v>2</x:v>
      </x:c>
      <x:c r="F24" s="11" t="str">
        <x:v>E07:3,E08:1,E09:1</x:v>
      </x:c>
      <x:c r="G24" s="11" t="str">
        <x:v>高后排火力，前线较薄。</x:v>
      </x:c>
      <x:c r="H24" s="11" t="str">
        <x:v>测试能否威胁后排。</x:v>
      </x:c>
      <x:c r="I24" s="11" t="str">
        <x:v>基础总HP=825，不含护盾/治疗/召援；清波固定6骨。未平衡初值，总HP不等于战力。</x:v>
      </x:c>
    </x:row>
    <x:row r="25" ht="57" customHeight="1">
      <x:c r="A25" s="3" t="str">
        <x:v>EN21</x:v>
      </x:c>
      <x:c r="B25" s="12" t="n">
        <x:v>2</x:v>
      </x:c>
      <x:c r="C25" s="12" t="n">
        <x:v>3</x:v>
      </x:c>
      <x:c r="D25" s="3" t="str">
        <x:v>N02</x:v>
      </x:c>
      <x:c r="E25" s="12" t="n">
        <x:v>3</x:v>
      </x:c>
      <x:c r="F25" s="3" t="str">
        <x:v>E06:3,E07:2,E08:1</x:v>
      </x:c>
      <x:c r="G25" s="3" t="str">
        <x:v>军牧只有1名，完整复合防线。</x:v>
      </x:c>
      <x:c r="H25" s="3" t="str">
        <x:v>输出和承伤需同时成立。</x:v>
      </x:c>
      <x:c r="I25" s="3" t="str">
        <x:v>基础总HP=1185，不含护盾/治疗/召援；清波固定6骨。未平衡初值，总HP不等于战力。</x:v>
      </x:c>
    </x:row>
    <x:row r="26" ht="57" customHeight="1">
      <x:c r="A26" s="11" t="str">
        <x:v>EN22</x:v>
      </x:c>
      <x:c r="B26" s="13" t="n">
        <x:v>2</x:v>
      </x:c>
      <x:c r="C26" s="13" t="n">
        <x:v>5</x:v>
      </x:c>
      <x:c r="D26" s="11" t="str">
        <x:v>N03</x:v>
      </x:c>
      <x:c r="E26" s="13" t="n">
        <x:v>1</x:v>
      </x:c>
      <x:c r="F26" s="11" t="str">
        <x:v>E06:3,E07:2</x:v>
      </x:c>
      <x:c r="G26" s="11" t="str">
        <x:v>外城城门守军。</x:v>
      </x:c>
      <x:c r="H26" s="11" t="str">
        <x:v>穿刺与重弩。</x:v>
      </x:c>
      <x:c r="I26" s="11" t="str">
        <x:v>基础总HP=1010，不含护盾/治疗/召援；清波固定7骨。未平衡初值，总HP不等于战力。</x:v>
      </x:c>
    </x:row>
    <x:row r="27" ht="57" customHeight="1">
      <x:c r="A27" s="3" t="str">
        <x:v>EN23</x:v>
      </x:c>
      <x:c r="B27" s="12" t="n">
        <x:v>2</x:v>
      </x:c>
      <x:c r="C27" s="12" t="n">
        <x:v>5</x:v>
      </x:c>
      <x:c r="D27" s="3" t="str">
        <x:v>N03</x:v>
      </x:c>
      <x:c r="E27" s="12" t="n">
        <x:v>2</x:v>
      </x:c>
      <x:c r="F27" s="3" t="str">
        <x:v>E06:2,E08:2,E09:1</x:v>
      </x:c>
      <x:c r="G27" s="3" t="str">
        <x:v>双军牧选择独立，同源护盾不叠加。</x:v>
      </x:c>
      <x:c r="H27" s="3" t="str">
        <x:v>治疗压力较高但输出兵占比下降。</x:v>
      </x:c>
      <x:c r="I27" s="3" t="str">
        <x:v>基础总HP=980，不含护盾/治疗/召援；清波固定7骨。未平衡初值，总HP不等于战力。</x:v>
      </x:c>
    </x:row>
    <x:row r="28" ht="57" customHeight="1">
      <x:c r="A28" s="11" t="str">
        <x:v>EN24</x:v>
      </x:c>
      <x:c r="B28" s="13" t="n">
        <x:v>2</x:v>
      </x:c>
      <x:c r="C28" s="13" t="n">
        <x:v>5</x:v>
      </x:c>
      <x:c r="D28" s="11" t="str">
        <x:v>N03</x:v>
      </x:c>
      <x:c r="E28" s="13" t="n">
        <x:v>3</x:v>
      </x:c>
      <x:c r="F28" s="11" t="str">
        <x:v>E10:1,E07:2,E08:1</x:v>
      </x:c>
      <x:c r="G28" s="11" t="str">
        <x:v>伯爵强化守军，不无限召兵。</x:v>
      </x:c>
      <x:c r="H28" s="11" t="str">
        <x:v>周期性范围爆发和强化弩手。</x:v>
      </x:c>
      <x:c r="I28" s="11" t="str">
        <x:v>基础总HP=3495，不含护盾/治疗/召援；清波固定7骨。未平衡初值，总HP不等于战力。</x:v>
      </x:c>
    </x:row>
    <x:row r="29" ht="57" customHeight="1">
      <x:c r="A29" s="3" t="str">
        <x:v>EN25</x:v>
      </x:c>
      <x:c r="B29" s="12" t="n">
        <x:v>3</x:v>
      </x:c>
      <x:c r="C29" s="12" t="n">
        <x:v>1</x:v>
      </x:c>
      <x:c r="D29" s="3" t="str">
        <x:v>N01</x:v>
      </x:c>
      <x:c r="E29" s="12" t="n">
        <x:v>1</x:v>
      </x:c>
      <x:c r="F29" s="3" t="str">
        <x:v>E11:2,E12:1</x:v>
      </x:c>
      <x:c r="G29" s="3" t="str">
        <x:v>首次临时召唤易伤，对正式兵不加倍率。</x:v>
      </x:c>
      <x:c r="H29" s="3" t="str">
        <x:v>调整承伤和补召节奏。</x:v>
      </x:c>
      <x:c r="I29" s="3" t="str">
        <x:v>基础总HP=980，不含护盾/治疗/召援；清波固定6骨。未平衡初值，总HP不等于战力。</x:v>
      </x:c>
    </x:row>
    <x:row r="30" ht="57" customHeight="1">
      <x:c r="A30" s="11" t="str">
        <x:v>EN26</x:v>
      </x:c>
      <x:c r="B30" s="13" t="n">
        <x:v>3</x:v>
      </x:c>
      <x:c r="C30" s="13" t="n">
        <x:v>1</x:v>
      </x:c>
      <x:c r="D30" s="11" t="str">
        <x:v>N01</x:v>
      </x:c>
      <x:c r="E30" s="13" t="n">
        <x:v>2</x:v>
      </x:c>
      <x:c r="F30" s="11" t="str">
        <x:v>E11:2,E14:1</x:v>
      </x:c>
      <x:c r="G30" s="11" t="str">
        <x:v>雷矛只命中2目标。</x:v>
      </x:c>
      <x:c r="H30" s="11" t="str">
        <x:v>重甲与法术穿透。</x:v>
      </x:c>
      <x:c r="I30" s="11" t="str">
        <x:v>基础总HP=1030，不含护盾/治疗/召援；清波固定6骨。未平衡初值，总HP不等于战力。</x:v>
      </x:c>
    </x:row>
    <x:row r="31" ht="57" customHeight="1">
      <x:c r="A31" s="3" t="str">
        <x:v>EN27</x:v>
      </x:c>
      <x:c r="B31" s="12" t="n">
        <x:v>3</x:v>
      </x:c>
      <x:c r="C31" s="12" t="n">
        <x:v>1</x:v>
      </x:c>
      <x:c r="D31" s="3" t="str">
        <x:v>N01</x:v>
      </x:c>
      <x:c r="E31" s="12" t="n">
        <x:v>3</x:v>
      </x:c>
      <x:c r="F31" s="3" t="str">
        <x:v>E11:2,E12:1,E13:1</x:v>
      </x:c>
      <x:c r="G31" s="3" t="str">
        <x:v>无全流派免疫。</x:v>
      </x:c>
      <x:c r="H31" s="3" t="str">
        <x:v>支援保护前排。</x:v>
      </x:c>
      <x:c r="I31" s="3" t="str">
        <x:v>基础总HP=1260，不含护盾/治疗/召援；清波固定6骨。未平衡初值，总HP不等于战力。</x:v>
      </x:c>
    </x:row>
    <x:row r="32" ht="57" customHeight="1">
      <x:c r="A32" s="11" t="str">
        <x:v>EN28</x:v>
      </x:c>
      <x:c r="B32" s="13" t="n">
        <x:v>3</x:v>
      </x:c>
      <x:c r="C32" s="13" t="n">
        <x:v>3</x:v>
      </x:c>
      <x:c r="D32" s="11" t="str">
        <x:v>N01</x:v>
      </x:c>
      <x:c r="E32" s="13" t="n">
        <x:v>1</x:v>
      </x:c>
      <x:c r="F32" s="11" t="str">
        <x:v>E11:2,E12:2</x:v>
      </x:c>
      <x:c r="G32" s="11" t="str">
        <x:v>第3层普通专用阵容。</x:v>
      </x:c>
      <x:c r="H32" s="11" t="str">
        <x:v>正式前排分担召唤物压力。</x:v>
      </x:c>
      <x:c r="I32" s="11" t="str">
        <x:v>基础总HP=1240，不含护盾/治疗/召援；清波固定6骨。未平衡初值，总HP不等于战力。</x:v>
      </x:c>
    </x:row>
    <x:row r="33" ht="57" customHeight="1">
      <x:c r="A33" s="3" t="str">
        <x:v>EN29</x:v>
      </x:c>
      <x:c r="B33" s="12" t="n">
        <x:v>3</x:v>
      </x:c>
      <x:c r="C33" s="12" t="n">
        <x:v>3</x:v>
      </x:c>
      <x:c r="D33" s="3" t="str">
        <x:v>N01</x:v>
      </x:c>
      <x:c r="E33" s="12" t="n">
        <x:v>2</x:v>
      </x:c>
      <x:c r="F33" s="3" t="str">
        <x:v>E11:2,E13:1,E14:1</x:v>
      </x:c>
      <x:c r="G33" s="3" t="str">
        <x:v>祭司按表增益最近友军。</x:v>
      </x:c>
      <x:c r="H33" s="3" t="str">
        <x:v>支援与法术爆发。</x:v>
      </x:c>
      <x:c r="I33" s="3" t="str">
        <x:v>基础总HP=1310，不含护盾/治疗/召援；清波固定6骨。未平衡初值，总HP不等于战力。</x:v>
      </x:c>
    </x:row>
    <x:row r="34" ht="57" customHeight="1">
      <x:c r="A34" s="11" t="str">
        <x:v>EN30</x:v>
      </x:c>
      <x:c r="B34" s="13" t="n">
        <x:v>3</x:v>
      </x:c>
      <x:c r="C34" s="13" t="n">
        <x:v>3</x:v>
      </x:c>
      <x:c r="D34" s="11" t="str">
        <x:v>N01</x:v>
      </x:c>
      <x:c r="E34" s="13" t="n">
        <x:v>3</x:v>
      </x:c>
      <x:c r="F34" s="11" t="str">
        <x:v>E11:3,E12:1,E13:1</x:v>
      </x:c>
      <x:c r="G34" s="11" t="str">
        <x:v>重甲密度高，远程人数有限。</x:v>
      </x:c>
      <x:c r="H34" s="11" t="str">
        <x:v>穿透/法术价值上升。</x:v>
      </x:c>
      <x:c r="I34" s="11" t="str">
        <x:v>基础总HP=1620，不含护盾/治疗/召援；清波固定6骨。未平衡初值，总HP不等于战力。</x:v>
      </x:c>
    </x:row>
    <x:row r="35" ht="57" customHeight="1">
      <x:c r="A35" s="3" t="str">
        <x:v>EN31</x:v>
      </x:c>
      <x:c r="B35" s="12" t="n">
        <x:v>3</x:v>
      </x:c>
      <x:c r="C35" s="12" t="n">
        <x:v>3</x:v>
      </x:c>
      <x:c r="D35" s="3" t="str">
        <x:v>N02</x:v>
      </x:c>
      <x:c r="E35" s="12" t="n">
        <x:v>1</x:v>
      </x:c>
      <x:c r="F35" s="3" t="str">
        <x:v>E11:3,E14:1</x:v>
      </x:c>
      <x:c r="G35" s="3" t="str">
        <x:v>无整个流派免疫或临时禁用技能。</x:v>
      </x:c>
      <x:c r="H35" s="3" t="str">
        <x:v>破盾反击与雷矛。</x:v>
      </x:c>
      <x:c r="I35" s="3" t="str">
        <x:v>基础总HP=1390，不含护盾/治疗/召援；清波固定7骨。未平衡初值，总HP不等于战力。</x:v>
      </x:c>
    </x:row>
    <x:row r="36" ht="57" customHeight="1">
      <x:c r="A36" s="11" t="str">
        <x:v>EN32</x:v>
      </x:c>
      <x:c r="B36" s="13" t="n">
        <x:v>3</x:v>
      </x:c>
      <x:c r="C36" s="13" t="n">
        <x:v>3</x:v>
      </x:c>
      <x:c r="D36" s="11" t="str">
        <x:v>N02</x:v>
      </x:c>
      <x:c r="E36" s="13" t="n">
        <x:v>2</x:v>
      </x:c>
      <x:c r="F36" s="11" t="str">
        <x:v>E12:2,E13:1,E14:2</x:v>
      </x:c>
      <x:c r="G36" s="11" t="str">
        <x:v>少重甲、高法术/远程组合。</x:v>
      </x:c>
      <x:c r="H36" s="11" t="str">
        <x:v>不同于纯物理承伤的压力。</x:v>
      </x:c>
      <x:c r="I36" s="11" t="str">
        <x:v>基础总HP=1420，不含护盾/治疗/召援；清波固定7骨。未平衡初值，总HP不等于战力。</x:v>
      </x:c>
    </x:row>
    <x:row r="37" ht="57" customHeight="1">
      <x:c r="A37" s="3" t="str">
        <x:v>EN33</x:v>
      </x:c>
      <x:c r="B37" s="12" t="n">
        <x:v>3</x:v>
      </x:c>
      <x:c r="C37" s="12" t="n">
        <x:v>3</x:v>
      </x:c>
      <x:c r="D37" s="3" t="str">
        <x:v>N02</x:v>
      </x:c>
      <x:c r="E37" s="12" t="n">
        <x:v>3</x:v>
      </x:c>
      <x:c r="F37" s="3" t="str">
        <x:v>E11:3,E12:2,E13:1</x:v>
      </x:c>
      <x:c r="G37" s="3" t="str">
        <x:v>首版最高难度常规精英组合。</x:v>
      </x:c>
      <x:c r="H37" s="3" t="str">
        <x:v>检验构筑弹性。</x:v>
      </x:c>
      <x:c r="I37" s="3" t="str">
        <x:v>基础总HP=1880，不含护盾/治疗/召援；清波固定7骨。未平衡初值，总HP不等于战力。</x:v>
      </x:c>
    </x:row>
    <x:row r="38" ht="57" customHeight="1">
      <x:c r="A38" s="11" t="str">
        <x:v>EN34</x:v>
      </x:c>
      <x:c r="B38" s="13" t="n">
        <x:v>3</x:v>
      </x:c>
      <x:c r="C38" s="13" t="n">
        <x:v>5</x:v>
      </x:c>
      <x:c r="D38" s="11" t="str">
        <x:v>N03</x:v>
      </x:c>
      <x:c r="E38" s="13" t="n">
        <x:v>1</x:v>
      </x:c>
      <x:c r="F38" s="11" t="str">
        <x:v>E11:3,E12:2</x:v>
      </x:c>
      <x:c r="G38" s="11" t="str">
        <x:v>王都城门守军。</x:v>
      </x:c>
      <x:c r="H38" s="11" t="str">
        <x:v>持续输出与正式前排。</x:v>
      </x:c>
      <x:c r="I38" s="11" t="str">
        <x:v>基础总HP=1600，不含护盾/治疗/召援；清波固定8骨。未平衡初值，总HP不等于战力。</x:v>
      </x:c>
    </x:row>
    <x:row r="39" ht="57" customHeight="1">
      <x:c r="A39" s="3" t="str">
        <x:v>EN35</x:v>
      </x:c>
      <x:c r="B39" s="12" t="n">
        <x:v>3</x:v>
      </x:c>
      <x:c r="C39" s="12" t="n">
        <x:v>5</x:v>
      </x:c>
      <x:c r="D39" s="3" t="str">
        <x:v>N03</x:v>
      </x:c>
      <x:c r="E39" s="12" t="n">
        <x:v>2</x:v>
      </x:c>
      <x:c r="F39" s="3" t="str">
        <x:v>E11:2,E13:2,E14:2</x:v>
      </x:c>
      <x:c r="G39" s="3" t="str">
        <x:v>双祭司可选不同目标；HASTE同源刷新、异源最多2层，最终APS受全局上限限制。</x:v>
      </x:c>
      <x:c r="H39" s="3" t="str">
        <x:v>多目标法术与治疗。</x:v>
      </x:c>
      <x:c r="I39" s="3" t="str">
        <x:v>基础总HP=1900，不含护盾/治疗/召援；清波固定8骨。未平衡初值，总HP不等于战力。</x:v>
      </x:c>
    </x:row>
    <x:row r="40" ht="57" customHeight="1">
      <x:c r="A40" s="11" t="str">
        <x:v>EN36</x:v>
      </x:c>
      <x:c r="B40" s="13" t="n">
        <x:v>3</x:v>
      </x:c>
      <x:c r="C40" s="13" t="n">
        <x:v>5</x:v>
      </x:c>
      <x:c r="D40" s="11" t="str">
        <x:v>N03</x:v>
      </x:c>
      <x:c r="E40" s="13" t="n">
        <x:v>3</x:v>
      </x:c>
      <x:c r="F40" s="11" t="str">
        <x:v>E15:1,E12:1,E13:1</x:v>
      </x:c>
      <x:c r="G40" s="11" t="str">
        <x:v>国王70%/35%各召1名E11；援军不追加永久XP或骨头。</x:v>
      </x:c>
      <x:c r="H40" s="11" t="str">
        <x:v>阈值增援与终局加速。</x:v>
      </x:c>
      <x:c r="I40" s="11" t="str">
        <x:v>基础总HP=5740，不含护盾/治疗/召援；清波固定8骨。未平衡初值，总HP不等于战力。</x:v>
      </x:c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3776b1602451469b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.329999923706055" hidden="0" customWidth="1"/>
    <x:col min="2" max="2" width="20" hidden="0" customWidth="1"/>
    <x:col min="3" max="3" width="35.560001373291016" hidden="0" customWidth="1"/>
    <x:col min="4" max="4" width="72.22000122070312" hidden="0" customWidth="1"/>
    <x:col min="5" max="5" width="33.33000183105469" hidden="0" customWidth="1"/>
  </x:cols>
  <x:sheetData>
    <x:row r="1">
      <x:c r="A1" s="3"/>
      <x:c r="B1" s="3"/>
      <x:c r="C1" s="3"/>
      <x:c r="D1" s="3"/>
      <x:c r="E1" s="3"/>
    </x:row>
    <x:row r="2" ht="30" customHeight="1">
      <x:c r="A2" s="5" t="str">
        <x:v>黑色幽默事件与明确代价</x:v>
      </x:c>
      <x:c r="B2" s="4"/>
      <x:c r="C2" s="4"/>
      <x:c r="D2" s="4"/>
      <x:c r="E2" s="4"/>
    </x:row>
    <x:row r="3">
      <x:c r="A3" s="3"/>
      <x:c r="B3" s="3"/>
      <x:c r="C3" s="3"/>
      <x:c r="D3" s="3"/>
      <x:c r="E3" s="3"/>
    </x:row>
    <x:row r="4" ht="36" customHeight="1">
      <x:c r="A4" s="10" t="str">
        <x:v>事件ID</x:v>
      </x:c>
      <x:c r="B4" s="10" t="str">
        <x:v>名称</x:v>
      </x:c>
      <x:c r="C4" s="10" t="str">
        <x:v>事件说明</x:v>
      </x:c>
      <x:c r="D4" s="10" t="str">
        <x:v>选择内容</x:v>
      </x:c>
      <x:c r="E4" s="10" t="str">
        <x:v>限制</x:v>
      </x:c>
    </x:row>
    <x:row r="5" ht="57" customHeight="1">
      <x:c r="A5" s="3" t="str">
        <x:v>EV01</x:v>
      </x:c>
      <x:c r="B5" s="3" t="str">
        <x:v>亡者户籍窗口</x:v>
      </x:c>
      <x:c r="C5" s="3" t="str">
        <x:v>办事员坚持要求本人到场；你指出排队的每一位都符合字面要求。</x:v>
      </x:c>
      <x:c r="D5" s="3" t="str">
        <x:v>A 购买加急盖章；代价 4骨；收益 指定1名正式兵获得8训练XP。
B 拿命匣给印章供电；代价 6命匣HP，付款后至少1HP；收益 指定1名正式兵获得12训练XP。
C 号码过期，下次再来；代价 0；收益 无变化。</x:v>
      </x:c>
      <x:c r="E5" s="3" t="str">
        <x:v>本事件只选1项；一局至多出现1次；正式兵达到等级上限或无目标则禁用对应选项。</x:v>
      </x:c>
    </x:row>
    <x:row r="6" ht="57" customHeight="1">
      <x:c r="A6" s="11" t="str">
        <x:v>EV02</x:v>
      </x:c>
      <x:c r="B6" s="11" t="str">
        <x:v>二手圣水，九成新</x:v>
      </x:c>
      <x:c r="C6" s="11" t="str">
        <x:v>瓶上贴着‘人类使用前请摇匀’，商贩保证剩下的一成都适合亡灵。</x:v>
      </x:c>
      <x:c r="D6" s="11" t="str">
        <x:v>A 购买稀释配方；代价 5骨；收益 恢复命匣12HP，不超过最大60。
B 把自己的样本卖给商贩；代价 4命匣HP，付款后至少1HP；收益 立刻获得6骨。
C 只看标签，不喝；代价 0；收益 无变化。</x:v>
      </x:c>
      <x:c r="E6" s="11" t="str">
        <x:v>只能选1项，不能先卖样本再买圣水；一局至多1次。</x:v>
      </x:c>
    </x:row>
    <x:row r="7" ht="72" customHeight="1">
      <x:c r="A7" s="3" t="str">
        <x:v>EV03</x:v>
      </x:c>
      <x:c r="B7" s="3" t="str">
        <x:v>国库最后一期理财</x:v>
      </x:c>
      <x:c r="C7" s="3" t="str">
        <x:v>合同写着‘王国永续经营’，兑付日期恰好是你攻破王座的那一天。</x:v>
      </x:c>
      <x:c r="D7" s="3" t="str">
        <x:v>A 短期投资；代价 立刻支付8骨；收益 下一Boss节点全部3波胜利完成后额外获得12骨；未通关该Boss不返还本金。
B 购买内部培训资料；代价 6骨；收益 指定1名正式兵获得14训练XP。
C 拒绝认购；代价 0；收益 无变化。</x:v>
      </x:c>
      <x:c r="E7" s="3" t="str">
        <x:v>1次选择；额外骨头以事件结算独立记录，不能重复触发或抬高每个敌人的掉落。</x:v>
      </x:c>
    </x:row>
    <x:row r="8" ht="72" customHeight="1">
      <x:c r="A8" s="11" t="str">
        <x:v>EV04</x:v>
      </x:c>
      <x:c r="B8" s="11" t="str">
        <x:v>引魂服务好评返券</x:v>
      </x:c>
      <x:c r="C8" s="11" t="str">
        <x:v>评价模板已经填好：服务态度良好，客户目前没有心跳。</x:v>
      </x:c>
      <x:c r="D8" s="11" t="str">
        <x:v>A 购买引魂券；代价 6骨；收益 获得I01引魂券1张；行为以systems表为准，不直接生成士兵，也不提升已有兵出生阶。
B 接受员工培训；代价 5命匣HP，付款后至少1HP；收益 指定1名正式兵获得10训练XP。
C 保持沉默；代价 0；收益 无变化。</x:v>
      </x:c>
      <x:c r="E8" s="11" t="str">
        <x:v>只选1项，一局至多1次；I01本身遵守每盘使用数量上限。</x:v>
      </x:c>
    </x:row>
    <x:row r="9" ht="87" customHeight="1">
      <x:c r="A9" s="3" t="str">
        <x:v>EV05</x:v>
      </x:c>
      <x:c r="B9" s="3" t="str">
        <x:v>王室阅兵彩排</x:v>
      </x:c>
      <x:c r="C9" s="3" t="str">
        <x:v>司仪请求你配合走位，最好不要在国王致辞前发动进攻。</x:v>
      </x:c>
      <x:c r="D9" s="3" t="str">
        <x:v>A 给号手付错谱费；代价 5骨；收益 仅下一Boss节点3波，所有敌人的基础APS乘0.92；不影响技能冷却，节点结束或本局失败后消失。
B 主动登台承担风险；代价 6命匣HP，付款后至少1HP；收益 仅下一Boss节点3波，我方正式兵最大HP乘1.10且每波以修正后满HP开战；临时召唤物不受影响，节点结束移除。
C 不参加彩排；代价 0；收益 无变化。</x:v>
      </x:c>
      <x:c r="E9" s="3" t="str">
        <x:v>只选1项；事件修正不可叠加同源；不改变永久HP或出生阶。</x:v>
      </x:c>
    </x:row>
    <x:row r="10" ht="72" customHeight="1">
      <x:c r="A10" s="11" t="str">
        <x:v>EV06</x:v>
      </x:c>
      <x:c r="B10" s="11" t="str">
        <x:v>亡灵团建报销</x:v>
      </x:c>
      <x:c r="C10" s="11" t="str">
        <x:v>活动项目只有‘拓展训练’。骷髅们指出自己的骨架已经足够拓展。</x:v>
      </x:c>
      <x:c r="D10" s="11" t="str">
        <x:v>A 组织三人培训；代价 5骨；需要至少3名不同正式兵；收益 指定3名不同正式兵各获得6训练XP；不能把3份分给同一人。
B 报销法师医疗费；代价 4骨；收益 恢复命匣9HP，不超过最大60。
C 取消团建；代价 0；收益 无变化。</x:v>
      </x:c>
      <x:c r="E10" s="11" t="str">
        <x:v>只选1项；训练不提升出生阶；达到等级上限者不能作为培训目标。</x:v>
      </x:c>
    </x:row>
    <x:row r="11" ht="57" customHeight="1">
      <x:c r="A11" s="3" t="str">
        <x:v>EV07</x:v>
      </x:c>
      <x:c r="B11" s="3" t="str">
        <x:v>轮盘计量合格证</x:v>
      </x:c>
      <x:c r="C11" s="3" t="str">
        <x:v>检验员表示，概率可以不公正，但权重之和必须符合规定。</x:v>
      </x:c>
      <x:c r="D11" s="3" t="str">
        <x:v>A 缴纳检验费；代价 4骨；收益 在2个不同活跃家族之间转移1权重；总20且每家族2–10。
B 以命匣供能抵扣；代价 6命匣HP，付款后至少1HP；收益 执行同样的一次1权重转移。
C 沿用旧证；代价 0；收益 无变化。</x:v>
      </x:c>
      <x:c r="E11" s="3" t="str">
        <x:v>只调整一次，不能换活跃家族；不改已有军队；不产生骨头。</x:v>
      </x:c>
    </x:row>
    <x:row r="12" ht="72" customHeight="1">
      <x:c r="A12" s="11" t="str">
        <x:v>EV08</x:v>
      </x:c>
      <x:c r="B12" s="11" t="str">
        <x:v>王室悼词征稿</x:v>
      </x:c>
      <x:c r="C12" s="11" t="str">
        <x:v>王国要求悼词不得出现‘失败’一词。你改成了‘永久性轮休’。</x:v>
      </x:c>
      <x:c r="D12" s="11" t="str">
        <x:v>A 签署激进版本；代价 下一Boss节点3波，我方正式兵与全部敌人的伤害同时乘1.10；临时我方召唤物伤害不变。；收益 该Boss节点成功完成后额外获得6骨。
B 支付润笔费；代价 8骨；收益 立刻恢复命匣18HP，不超过最大60。
C 退稿；代价 0；收益 无变化。</x:v>
      </x:c>
      <x:c r="E12" s="11" t="str">
        <x:v>只选1项；节点结束移除修正；伤害倍率位于护甲/格挡结算前并遵守既有伤害种类规则；不改变技能触发数量。</x:v>
      </x:c>
    </x:row>
    <x:row r="13">
      <x:c r="A13" s="3"/>
      <x:c r="B13" s="3"/>
      <x:c r="C13" s="3"/>
      <x:c r="D13" s="3"/>
      <x:c r="E13" s="3"/>
    </x:row>
    <x:row r="14">
      <x:c r="A14" s="3"/>
      <x:c r="B14" s="3"/>
      <x:c r="C14" s="3"/>
      <x:c r="D14" s="3"/>
      <x:c r="E14" s="3"/>
    </x:row>
    <x:row r="15">
      <x:c r="A15" s="3"/>
      <x:c r="B15" s="3"/>
      <x:c r="C15" s="3"/>
      <x:c r="D15" s="3"/>
      <x:c r="E15" s="3"/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57859eb494804a13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220000267028809" hidden="0" customWidth="1"/>
    <x:col min="2" max="2" width="43.33000183105469" hidden="0" customWidth="1"/>
    <x:col min="3" max="3" width="11.109999656677246" hidden="0" customWidth="1"/>
    <x:col min="4" max="4" width="46.66999816894531" hidden="0" customWidth="1"/>
    <x:col min="5" max="5" width="50" hidden="0" customWidth="1"/>
    <x:col min="6" max="6" width="15.5600004196167" hidden="0" customWidth="1"/>
  </x:cols>
  <x:sheetData>
    <x:row r="1">
      <x:c r="A1" s="3"/>
      <x:c r="B1" s="3"/>
      <x:c r="C1" s="3"/>
      <x:c r="D1" s="3"/>
      <x:c r="E1" s="3"/>
      <x:c r="F1" s="3"/>
    </x:row>
    <x:row r="2" ht="30" customHeight="1">
      <x:c r="A2" s="5" t="str">
        <x:v>系统反例与验收计划</x:v>
      </x:c>
      <x:c r="B2" s="4"/>
      <x:c r="C2" s="4"/>
      <x:c r="D2" s="4"/>
      <x:c r="E2" s="4"/>
      <x:c r="F2" s="4"/>
    </x:row>
    <x:row r="3">
      <x:c r="A3" s="4" t="str">
        <x:v>公式与引用可以静态校验；好玩、强度、节奏和目标帧率必须由可玩的原型验证。</x:v>
      </x:c>
      <x:c r="B3" s="3"/>
      <x:c r="C3" s="3"/>
      <x:c r="D3" s="3"/>
      <x:c r="E3" s="3"/>
      <x:c r="F3" s="3"/>
    </x:row>
    <x:row r="4" ht="36" customHeight="1">
      <x:c r="A4" s="10" t="str">
        <x:v>风险ID</x:v>
      </x:c>
      <x:c r="B4" s="10" t="str">
        <x:v>具体失败情景</x:v>
      </x:c>
      <x:c r="C4" s="10" t="str">
        <x:v>严重度</x:v>
      </x:c>
      <x:c r="D4" s="10" t="str">
        <x:v>设计控制</x:v>
      </x:c>
      <x:c r="E4" s="10" t="str">
        <x:v>验收方法</x:v>
      </x:c>
      <x:c r="F4" s="10" t="str">
        <x:v>当前状态</x:v>
      </x:c>
    </x:row>
    <x:row r="5" ht="42" customHeight="1">
      <x:c r="A5" s="3" t="str">
        <x:v>RK01</x:v>
      </x:c>
      <x:c r="B5" s="3" t="str">
        <x:v>初始盘先发兵，再干预同一盘重复领原有中奖，复制符号进一步复制奖励。</x:v>
      </x:c>
      <x:c r="C5" s="3" t="str">
        <x:v>critical</x:v>
      </x:c>
      <x:c r="D5" s="3" t="str">
        <x:v>盘面只有生成、干预、最终确认、领取四阶段；同盘只有一个settlement_id；全部操作完成后结算一次。</x:v>
      </x:c>
      <x:c r="E5" s="3" t="str">
        <x:v>对同一盘依次重摇、交换、重复点击收兵并重载页面；永久兵、经验、道具次数只能按一次最终结果改变。</x:v>
      </x:c>
      <x:c r="F5" s="3" t="str">
        <x:v>待原型测试</x:v>
      </x:c>
    </x:row>
    <x:row r="6" ht="57" customHeight="1">
      <x:c r="A6" s="11" t="str">
        <x:v>RK02</x:v>
      </x:c>
      <x:c r="B6" s="11" t="str">
        <x:v>玩家装上免费操作遗物无限重摇，或者费用不足时启动再取消来探结果。</x:v>
      </x:c>
      <x:c r="C6" s="11" t="str">
        <x:v>critical</x:v>
      </x:c>
      <x:c r="D6" s="11" t="str">
        <x:v>所有遗物与道具共享每盘2次干预；每件还有局部次数；先检查合法性，操作开始原子扣费和次数，随后随机取样，不支持退单。</x:v>
      </x:c>
      <x:c r="E6" s="11" t="str">
        <x:v>组合M01/M05/I03/I04尝试第3次干预、负余额操作、取消和重载；第3次被拒，已开始操作不可恢复资源或改随机结果。</x:v>
      </x:c>
      <x:c r="F6" s="11" t="str">
        <x:v>待原型测试</x:v>
      </x:c>
    </x:row>
    <x:row r="7" ht="42" customHeight="1">
      <x:c r="A7" s="3" t="str">
        <x:v>RK03</x:v>
      </x:c>
      <x:c r="B7" s="3" t="str">
        <x:v>限定家族引魂券把0线变兵，或把2线R2继续升为R3。</x:v>
      </x:c>
      <x:c r="C7" s="3" t="str">
        <x:v>high</x:v>
      </x:c>
      <x:c r="D7" s="3" t="str">
        <x:v>只对所选族最终恰好1线应用R1到R2替换；0线与2线以上无额外效果，已消耗道具不返还。</x:v>
      </x:c>
      <x:c r="E7" s="3" t="str">
        <x:v>分别输入目标族0/1/2/3条线与其他族1条线，核对数量、R阶和无效消耗；I01+M14不能额外赠送训练经验。</x:v>
      </x:c>
      <x:c r="F7" s="3" t="str">
        <x:v>待原型测试</x:v>
      </x:c>
    </x:row>
    <x:row r="8" ht="57" customHeight="1">
      <x:c r="A8" s="11" t="str">
        <x:v>RK04</x:v>
      </x:c>
      <x:c r="B8" s="11" t="str">
        <x:v>临时权重和永久改造叠加后出现1族独占、负权重或总和超过20。</x:v>
      </x:c>
      <x:c r="C8" s="11" t="str">
        <x:v>critical</x:v>
      </x:c>
      <x:c r="D8" s="11" t="str">
        <x:v>每次修改作为完整事务校验4个不同家族、每家族2至10、总和20；换家族继承被替换槽的权重；M17临时增量单独保存和还原。</x:v>
      </x:c>
      <x:c r="E8" s="11" t="str">
        <x:v>遍历边界2/10、换种、进出节点、重载；任何时刻都满足约束，不因M17结束把永久改造回滚。</x:v>
      </x:c>
      <x:c r="F8" s="11" t="str">
        <x:v>待原型测试</x:v>
      </x:c>
    </x:row>
    <x:row r="9" ht="57" customHeight="1">
      <x:c r="A9" s="3" t="str">
        <x:v>RK05</x:v>
      </x:c>
      <x:c r="B9" s="3" t="str">
        <x:v>训练到Lv4或吸收高阶兵使R1升为R2，混淆出生阶级与训练。</x:v>
      </x:c>
      <x:c r="C9" s="3" t="str">
        <x:v>critical</x:v>
      </x:c>
      <x:c r="D9" s="3" t="str">
        <x:v>birth_rank创建后不可由经验修改；Lv4只选一次战斗专精；普通献祭只增加经验，公式为供体出生阶基础值2/5/12/25加floor(0.75×供体累计训练XP)，不传出生R。</x:v>
      </x:c>
      <x:c r="E9" s="3" t="str">
        <x:v>给R1喂满150累计经验、献祭R4给R1、使用I06越过Lv4；目标仍R1，仅等级/专精按规则变化。</x:v>
      </x:c>
      <x:c r="F9" s="3" t="str">
        <x:v>待原型测试</x:v>
      </x:c>
    </x:row>
    <x:row r="10" ht="72" customHeight="1">
      <x:c r="A10" s="11" t="str">
        <x:v>RK06</x:v>
      </x:c>
      <x:c r="B10" s="11" t="str">
        <x:v>高R Lv1大奖必须丢弃已养成的低R Lv8核心，或通过反复献祭把经验越转越多。</x:v>
      </x:c>
      <x:c r="C10" s="11" t="str">
        <x:v>high</x:v>
      </x:c>
      <x:c r="D10" s="11" t="str">
        <x:v>独立换壳操作只允许同族新高阶身体接收旧低阶核心；保留新身体职业和出生R，训练XP取两者max而非相加，达到Lv4按新职业重选专精；两兵合为一兵，不能再领取献祭XP。普通献祭另用统一公式。</x:v>
      </x:c>
      <x:c r="E10" s="11" t="str">
        <x:v>覆盖合法换壳、不同族、同阶、反向高阶喂低阶、换壳后重复献祭请求；换壳只产1名新身体职业的兵，XP=max，供体被删除，不同时发献祭XP。</x:v>
      </x:c>
      <x:c r="F10" s="11" t="str">
        <x:v>待原型测试</x:v>
      </x:c>
    </x:row>
    <x:row r="11" ht="42" customHeight="1">
      <x:c r="A11" s="3" t="str">
        <x:v>RK07</x:v>
      </x:c>
      <x:c r="B11" s="3" t="str">
        <x:v>战内召唤物被保存、售卖或献祭，制造无限永久兵、骨头和经验。</x:v>
      </x:c>
      <x:c r="C11" s="3" t="str">
        <x:v>critical</x:v>
      </x:c>
      <x:c r="D11" s="3" t="str">
        <x:v>永久兵与战内召唤物使用独立生命周期；临时对象不进入整军库存、不参与战外回收；波结束强制清除。</x:v>
      </x:c>
      <x:c r="E11" s="3" t="str">
        <x:v>临时召唤、残影、复活、战后保存/载入的全链路检查，永久兵数、骨头、经验不能因此上升。</x:v>
      </x:c>
      <x:c r="F11" s="3" t="str">
        <x:v>待原型测试</x:v>
      </x:c>
    </x:row>
    <x:row r="12" ht="42" customHeight="1">
      <x:c r="A12" s="11" t="str">
        <x:v>RK08</x:v>
      </x:c>
      <x:c r="B12" s="11" t="str">
        <x:v>尸骸与骨头货币共用对象，玩家拖延战斗反复复活刷钱。</x:v>
      </x:c>
      <x:c r="C12" s="11" t="str">
        <x:v>critical</x:v>
      </x:c>
      <x:c r="D12" s="11" t="str">
        <x:v>战场尸骸与骨头钱包分离；敌方战利品绑定节点预算与唯一敌人奖励ID；新召出的敌我单位都不新增战利品预算。</x:v>
      </x:c>
      <x:c r="E12" s="11" t="str">
        <x:v>保留最后一个敌人，循环召唤/击倒/消耗尸骸；骨头不增长，尸骸数量和寿命受限。</x:v>
      </x:c>
      <x:c r="F12" s="11" t="str">
        <x:v>待原型测试</x:v>
      </x:c>
    </x:row>
    <x:row r="13" ht="42" customHeight="1">
      <x:c r="A13" s="3" t="str">
        <x:v>RK09</x:v>
      </x:c>
      <x:c r="B13" s="3" t="str">
        <x:v>骨甲破裂触发治疗，治疗触发骨甲，再次触发同一链条直到锁死。</x:v>
      </x:c>
      <x:c r="C13" s="3" t="str">
        <x:v>critical</x:v>
      </x:c>
      <x:c r="D13" s="3" t="str">
        <x:v>同一因果链内同一来源效果最多响应一次；每件遗物的对象冷却和每波次数独立记录；0回复/0新增骨甲不发事件。</x:v>
      </x:c>
      <x:c r="E13" s="3" t="str">
        <x:v>A07+A08+A15与单位治疗/骨甲技能对单次来袭做逐事件日志；队列有限、次数正确，不出现无时间流逝的无限链。</x:v>
      </x:c>
      <x:c r="F13" s="3" t="str">
        <x:v>待原型测试</x:v>
      </x:c>
    </x:row>
    <x:row r="14" ht="57" customHeight="1">
      <x:c r="A14" s="11" t="str">
        <x:v>RK10</x:v>
      </x:c>
      <x:c r="B14" s="11" t="str">
        <x:v>闪电附伤、毒跳或反伤发BASIC_HIT/DIRECT_CRIT，触发无限追击与状态传播。</x:v>
      </x:c>
      <x:c r="C14" s="11" t="str">
        <x:v>critical</x:v>
      </x:c>
      <x:c r="D14" s="11" t="str">
        <x:v>只有基础攻击的实际命中发BASIC_HIT；能力、持续、反应伤害默认不暴击；继发效果带来源与反应标记，不回填原始普攻事件。</x:v>
      </x:c>
      <x:c r="E14" s="11" t="str">
        <x:v>A04+A16+A17配湿/冻/毒，检查每次普攻的事件图和计数；附伤不能递归生成普攻或再次传导。</x:v>
      </x:c>
      <x:c r="F14" s="11" t="str">
        <x:v>待原型测试</x:v>
      </x:c>
    </x:row>
    <x:row r="15" ht="42" customHeight="1">
      <x:c r="A15" s="3" t="str">
        <x:v>RK11</x:v>
      </x:c>
      <x:c r="B15" s="3" t="str">
        <x:v>正式军队波后复起导致任何损失都无关紧要，强队只选最高奖励路线。</x:v>
      </x:c>
      <x:c r="C15" s="3" t="str">
        <x:v>high</x:v>
      </x:c>
      <x:c r="D15" s="3" t="str">
        <x:v>命匣跨波和节点保留真实损耗；被突破才罚命匣，不按友军死亡收费；节点敌情与多波累计压力可预览。</x:v>
      </x:c>
      <x:c r="E15" s="3" t="str">
        <x:v>三套构筑面对同一分叉，记录命匣风险、金币与选择；若路线永远同一条，需要改敌方任务压力而非永久删兵。</x:v>
      </x:c>
      <x:c r="F15" s="3" t="str">
        <x:v>待原型测试</x:v>
      </x:c>
    </x:row>
    <x:row r="16" ht="42" customHeight="1">
      <x:c r="A16" s="11" t="str">
        <x:v>RK12</x:v>
      </x:c>
      <x:c r="B16" s="11" t="str">
        <x:v>候补满6时大奖消失、被自动喂错人，或同一盘多个家族的奖励超出库存而静默丢失。</x:v>
      </x:c>
      <x:c r="C16" s="11" t="str">
        <x:v>high</x:v>
      </x:c>
      <x:c r="D16" s="11" t="str">
        <x:v>最终结果进入独立、不能出战的待处理区，全部奖励可见；玩家完成上阵/替换/献祭后才能继续；不自动丢弃高R兵。</x:v>
      </x:c>
      <x:c r="E16" s="11" t="str">
        <x:v>上阵6后备6满员时分别领取1/2/3族奖励，检查任何兵都不丢失，完成处理后永久库存仍不超过12。</x:v>
      </x:c>
      <x:c r="F16" s="11" t="str">
        <x:v>待原型测试</x:v>
      </x:c>
    </x:row>
    <x:row r="17" ht="42" customHeight="1">
      <x:c r="A17" s="3" t="str">
        <x:v>RK13</x:v>
      </x:c>
      <x:c r="B17" s="3" t="str">
        <x:v>临时召唤达到12上限后排队，空位出现瞬间大量补发并绕过技能冷却。</x:v>
      </x:c>
      <x:c r="C17" s="3" t="str">
        <x:v>high</x:v>
      </x:c>
      <x:c r="D17" s="3" t="str">
        <x:v>上限在请求时判定；失败请求仍消耗其本次触发机会，不建立隐藏补发队列；实际成功创建才发SUMMON。</x:v>
      </x:c>
      <x:c r="E17" s="3" t="str">
        <x:v>压满12后触发A18与单位技能，清除1个单位；不得把旧失败请求集中补发。</x:v>
      </x:c>
      <x:c r="F17" s="3" t="str">
        <x:v>待原型测试</x:v>
      </x:c>
    </x:row>
    <x:row r="18" ht="42" customHeight="1">
      <x:c r="A18" s="11" t="str">
        <x:v>RK14</x:v>
      </x:c>
      <x:c r="B18" s="11" t="str">
        <x:v>每节点三波只是在反复整理同一支强军，第三波没有新判断。</x:v>
      </x:c>
      <x:c r="C18" s="11" t="str">
        <x:v>high</x:v>
      </x:c>
      <x:c r="D18" s="11" t="str">
        <x:v>同节点三波改变敌方组成或进攻方向/防线压力，并在波间预告；每波减少低价值拖拽，提供批量献祭但先预览。</x:v>
      </x:c>
      <x:c r="E18" s="11" t="str">
        <x:v>只测一个三波节点，预设高roll、两次空盘、分散协同三种序列；若第三波全部是相同单核加经验，应调整成长与波次敌情。</x:v>
      </x:c>
      <x:c r="F18" s="11" t="str">
        <x:v>待原型测试</x:v>
      </x:c>
    </x:row>
    <x:row r="19" ht="57" customHeight="1">
      <x:c r="A19" s="3" t="str">
        <x:v>RK15</x:v>
      </x:c>
      <x:c r="B19" s="3" t="str">
        <x:v>拿机器遗物改盘后换战斗遗物、军团仓库无限换装，让槽位限制失效。</x:v>
      </x:c>
      <x:c r="C19" s="3" t="str">
        <x:v>high</x:v>
      </x:c>
      <x:c r="D19" s="3" t="str">
        <x:v>机器与军团配置都在入节点时锁定；机器槽2/3/4按章首领解锁；軍团最多6件，替换仅节点外机会，旧件永久放弃且不退价。</x:v>
      </x:c>
      <x:c r="E19" s="3" t="str">
        <x:v>拉杆前后、波间、节点内商店外入口尝试换装；所有非法切换拒绝且日志保留锁定快照。</x:v>
      </x:c>
      <x:c r="F19" s="3" t="str">
        <x:v>待原型测试</x:v>
      </x:c>
    </x:row>
    <x:row r="20" ht="42" customHeight="1">
      <x:c r="A20" s="11" t="str">
        <x:v>RK16</x:v>
      </x:c>
      <x:c r="B20" s="11" t="str">
        <x:v>多种折扣和空盘返还使一次付费抽取净赚骨头。</x:v>
      </x:c>
      <x:c r="C20" s="11" t="str">
        <x:v>critical</x:v>
      </x:c>
      <x:c r="D20" s="11" t="str">
        <x:v>先计算基础价格3/5/8/11/14，汇总折扣后实付下限1；任何返还不超过本次实付减1；不返还干预或道具。</x:v>
      </x:c>
      <x:c r="E20" s="11" t="str">
        <x:v>穷举M10/M11/I02、免费盘、各追加次数及余额边界，保证任何单盘拉杆费净支出至少1或本就是基础免费盘。</x:v>
      </x:c>
      <x:c r="F20" s="11" t="str">
        <x:v>待原型测试</x:v>
      </x:c>
    </x:row>
    <x:row r="21" ht="42" customHeight="1">
      <x:c r="A21" s="3" t="str">
        <x:v>RK17</x:v>
      </x:c>
      <x:c r="B21" s="3" t="str">
        <x:v>骨甲被误当护甲，真实伤害和毒被重复减免，满血再生也触发治疗循环。</x:v>
      </x:c>
      <x:c r="C21" s="3" t="str">
        <x:v>high</x:v>
      </x:c>
      <x:c r="D21" s="3" t="str">
        <x:v>物理/法术/真实使用独立伤害类型；只有物理经护甲，三类随后扣骨甲；事件记录实际HP/骨甲变化；满血回复为0。</x:v>
      </x:c>
      <x:c r="E21" s="3" t="str">
        <x:v>同一攻击分别打无防御、15护甲、12骨甲与组合目标；核对公式、事件数量与满血REGEN零事件。</x:v>
      </x:c>
      <x:c r="F21" s="3" t="str">
        <x:v>待原型测试</x:v>
      </x:c>
    </x:row>
    <x:row r="22" ht="57" customHeight="1">
      <x:c r="A22" s="11" t="str">
        <x:v>RK18</x:v>
      </x:c>
      <x:c r="B22" s="11" t="str">
        <x:v>把7条中奖线写成有效等级，或按每条线发兵，破坏每族只1兵规则。</x:v>
      </x:c>
      <x:c r="C22" s="11" t="str">
        <x:v>critical</x:v>
      </x:c>
      <x:c r="D22" s="11" t="str">
        <x:v>先识别8条完整线，再按家族归组；使用固定映射1:R1Lv1、2:R2Lv1、3:R3Lv1、4:R4Lv1、5:R4Lv3、6:R4Lv5、8:R4Lv8；7视为逻辑错误。</x:v>
      </x:c>
      <x:c r="E22" s="11" t="str">
        <x:v>已静态穷举4符号9格共262144盘：每盘最多3族出兵，任何家族无7线，9同符号仅1族8线；实现仍需按固定映射验证9同符号只领1只R4Lv8。</x:v>
      </x:c>
      <x:c r="F22" s="11" t="str">
        <x:v>待原型测试</x:v>
      </x:c>
    </x:row>
    <x:row r="23">
      <x:c r="A23" s="3"/>
      <x:c r="B23" s="3"/>
      <x:c r="C23" s="3"/>
      <x:c r="D23" s="3"/>
      <x:c r="E23" s="3"/>
      <x:c r="F23" s="3"/>
    </x:row>
    <x:row r="24">
      <x:c r="A24" s="3"/>
      <x:c r="B24" s="3"/>
      <x:c r="C24" s="3"/>
      <x:c r="D24" s="3"/>
      <x:c r="E24" s="3"/>
      <x:c r="F24" s="3"/>
    </x:row>
    <x:row r="25">
      <x:c r="A25" s="3"/>
      <x:c r="B25" s="3"/>
      <x:c r="C25" s="3"/>
      <x:c r="D25" s="3"/>
      <x:c r="E25" s="3"/>
      <x:c r="F25" s="3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2bab4da648704d86"/>
  </x:tableParts>
</x:worksheet>
</file>

<file path=xl/worksheets/sheet25.xml><?xml version="1.0" encoding="utf-8"?>
<x:worksheet xmlns:x="http://schemas.openxmlformats.org/spreadsheetml/2006/main">
  <x:sheetPr>
    <x:tabColor rgb="FFB2B8BF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.779999732971191" hidden="0" customWidth="1"/>
    <x:col min="2" max="2" width="12.779999732971191" hidden="0" customWidth="1"/>
    <x:col min="3" max="3" width="12.779999732971191" hidden="0" customWidth="1"/>
    <x:col min="4" max="4" width="12.779999732971191" hidden="0" customWidth="1"/>
    <x:col min="5" max="5" width="12.779999732971191" hidden="0" customWidth="1"/>
    <x:col min="6" max="6" width="12.779999732971191" hidden="0" customWidth="1"/>
    <x:col min="7" max="7" width="12.779999732971191" hidden="0" customWidth="1"/>
    <x:col min="8" max="8" width="12.779999732971191" hidden="0" customWidth="1"/>
    <x:col min="9" max="9" width="12.779999732971191" hidden="0" customWidth="1"/>
    <x:col min="10" max="10" width="12.779999732971191" hidden="0" customWidth="1"/>
    <x:col min="11" max="11" width="12.779999732971191" hidden="0" customWidth="1"/>
    <x:col min="12" max="12" width="12.779999732971191" hidden="0" customWidth="1"/>
    <x:col min="13" max="13" width="12.779999732971191" hidden="0" customWidth="1"/>
    <x:col min="14" max="14" width="12.779999732971191" hidden="0" customWidth="1"/>
    <x:col min="15" max="15" width="12.779999732971191" hidden="0" customWidth="1"/>
    <x:col min="16" max="16" width="12.779999732971191" hidden="0" customWidth="1"/>
    <x:col min="17" max="17" width="12.779999732971191" hidden="0" customWidth="1"/>
    <x:col min="18" max="18" width="12.779999732971191" hidden="0" customWidth="1"/>
    <x:col min="19" max="19" width="12.779999732971191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0" customHeight="1">
      <x:c r="A2" s="5" t="str">
        <x:v>四符号九宫格穷举系数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  <x:row r="3">
      <x:c r="A3" s="4" t="str">
        <x:v>262144盘聚合为220种符号数量组合。修改参数权重后实时重算；不包含遗物改盘或玩家锁列策略。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36" customHeight="1">
      <x:c r="A4" s="10" t="str">
        <x:v>数1</x:v>
      </x:c>
      <x:c r="B4" s="10" t="str">
        <x:v>数2</x:v>
      </x:c>
      <x:c r="C4" s="10" t="str">
        <x:v>数3</x:v>
      </x:c>
      <x:c r="D4" s="10" t="str">
        <x:v>数4</x:v>
      </x:c>
      <x:c r="E4" s="10" t="str">
        <x:v>盘面数</x:v>
      </x:c>
      <x:c r="F4" s="10" t="str">
        <x:v>中奖盘面数</x:v>
      </x:c>
      <x:c r="G4" s="10" t="str">
        <x:v>R1总兵数</x:v>
      </x:c>
      <x:c r="H4" s="10" t="str">
        <x:v>R2总兵数</x:v>
      </x:c>
      <x:c r="I4" s="10" t="str">
        <x:v>R3总兵数</x:v>
      </x:c>
      <x:c r="J4" s="10" t="str">
        <x:v>R4总兵数</x:v>
      </x:c>
      <x:c r="K4" s="10" t="str">
        <x:v>总兵数</x:v>
      </x:c>
      <x:c r="L4" s="10" t="str">
        <x:v>单盘概率</x:v>
      </x:c>
      <x:c r="M4" s="10" t="str">
        <x:v>概率质量</x:v>
      </x:c>
      <x:c r="N4" s="10" t="str">
        <x:v>中奖概率贡献</x:v>
      </x:c>
      <x:c r="O4" s="10" t="str">
        <x:v>R1期望贡献</x:v>
      </x:c>
      <x:c r="P4" s="10" t="str">
        <x:v>R2期望贡献</x:v>
      </x:c>
      <x:c r="Q4" s="10" t="str">
        <x:v>R3期望贡献</x:v>
      </x:c>
      <x:c r="R4" s="10" t="str">
        <x:v>R4期望贡献</x:v>
      </x:c>
      <x:c r="S4" s="10" t="str">
        <x:v>总兵期望贡献</x:v>
      </x:c>
    </x:row>
    <x:row r="5" ht="27" customHeight="1">
      <x:c r="A5" s="12" t="n">
        <x:v>0</x:v>
      </x:c>
      <x:c r="B5" s="12" t="n">
        <x:v>0</x:v>
      </x:c>
      <x:c r="C5" s="12" t="n">
        <x:v>0</x:v>
      </x:c>
      <x:c r="D5" s="12" t="n">
        <x:v>9</x:v>
      </x:c>
      <x:c r="E5" s="12" t="n">
        <x:v>1</x:v>
      </x:c>
      <x:c r="F5" s="12" t="n">
        <x:v>1</x:v>
      </x:c>
      <x:c r="G5" s="12" t="n">
        <x:v>0</x:v>
      </x:c>
      <x:c r="H5" s="12" t="n">
        <x:v>0</x:v>
      </x:c>
      <x:c r="I5" s="12" t="n">
        <x:v>0</x:v>
      </x:c>
      <x:c r="J5" s="12" t="n">
        <x:v>1</x:v>
      </x:c>
      <x:c r="K5" s="12" t="n">
        <x:v>1</x:v>
      </x:c>
      <x:c r="L5" s="18" t="n">
        <x:f>'参数'!$D$5^A5*'参数'!$D$6^B5*'参数'!$D$7^C5*'参数'!$D$8^D5</x:f>
        <x:v>0.000003814697265625</x:v>
      </x:c>
      <x:c r="M5" s="18" t="n">
        <x:f>E5*L5</x:f>
        <x:v>0.000003814697265625</x:v>
      </x:c>
      <x:c r="N5" s="18" t="n">
        <x:f>F5*L5</x:f>
        <x:v>0.000003814697265625</x:v>
      </x:c>
      <x:c r="O5" s="18" t="n">
        <x:f>G5*L5</x:f>
        <x:v>0</x:v>
      </x:c>
      <x:c r="P5" s="18" t="n">
        <x:f>H5*L5</x:f>
        <x:v>0</x:v>
      </x:c>
      <x:c r="Q5" s="18" t="n">
        <x:f>I5*L5</x:f>
        <x:v>0</x:v>
      </x:c>
      <x:c r="R5" s="18" t="n">
        <x:f>J5*L5</x:f>
        <x:v>0.000003814697265625</x:v>
      </x:c>
      <x:c r="S5" s="18" t="n">
        <x:f>K5*L5</x:f>
        <x:v>0.000003814697265625</x:v>
      </x:c>
    </x:row>
    <x:row r="6" ht="27" customHeight="1">
      <x:c r="A6" s="13" t="n">
        <x:v>0</x:v>
      </x:c>
      <x:c r="B6" s="13" t="n">
        <x:v>0</x:v>
      </x:c>
      <x:c r="C6" s="13" t="n">
        <x:v>1</x:v>
      </x:c>
      <x:c r="D6" s="13" t="n">
        <x:v>8</x:v>
      </x:c>
      <x:c r="E6" s="13" t="n">
        <x:v>9</x:v>
      </x:c>
      <x:c r="F6" s="13" t="n">
        <x:v>9</x:v>
      </x:c>
      <x:c r="G6" s="13" t="n">
        <x:v>0</x:v>
      </x:c>
      <x:c r="H6" s="13" t="n">
        <x:v>0</x:v>
      </x:c>
      <x:c r="I6" s="13" t="n">
        <x:v>0</x:v>
      </x:c>
      <x:c r="J6" s="13" t="n">
        <x:v>9</x:v>
      </x:c>
      <x:c r="K6" s="13" t="n">
        <x:v>9</x:v>
      </x:c>
      <x:c r="L6" s="19" t="n">
        <x:f>'参数'!$D$5^A6*'参数'!$D$6^B6*'参数'!$D$7^C6*'参数'!$D$8^D6</x:f>
        <x:v>0.000003814697265625</x:v>
      </x:c>
      <x:c r="M6" s="19" t="n">
        <x:f>E6*L6</x:f>
        <x:v>0.000034332275390625</x:v>
      </x:c>
      <x:c r="N6" s="19" t="n">
        <x:f>F6*L6</x:f>
        <x:v>0.000034332275390625</x:v>
      </x:c>
      <x:c r="O6" s="19" t="n">
        <x:f>G6*L6</x:f>
        <x:v>0</x:v>
      </x:c>
      <x:c r="P6" s="19" t="n">
        <x:f>H6*L6</x:f>
        <x:v>0</x:v>
      </x:c>
      <x:c r="Q6" s="19" t="n">
        <x:f>I6*L6</x:f>
        <x:v>0</x:v>
      </x:c>
      <x:c r="R6" s="19" t="n">
        <x:f>J6*L6</x:f>
        <x:v>0.000034332275390625</x:v>
      </x:c>
      <x:c r="S6" s="19" t="n">
        <x:f>K6*L6</x:f>
        <x:v>0.000034332275390625</x:v>
      </x:c>
    </x:row>
    <x:row r="7" ht="27" customHeight="1">
      <x:c r="A7" s="12" t="n">
        <x:v>0</x:v>
      </x:c>
      <x:c r="B7" s="12" t="n">
        <x:v>0</x:v>
      </x:c>
      <x:c r="C7" s="12" t="n">
        <x:v>2</x:v>
      </x:c>
      <x:c r="D7" s="12" t="n">
        <x:v>7</x:v>
      </x:c>
      <x:c r="E7" s="12" t="n">
        <x:v>36</x:v>
      </x:c>
      <x:c r="F7" s="12" t="n">
        <x:v>36</x:v>
      </x:c>
      <x:c r="G7" s="12" t="n">
        <x:v>0</x:v>
      </x:c>
      <x:c r="H7" s="12" t="n">
        <x:v>4</x:v>
      </x:c>
      <x:c r="I7" s="12" t="n">
        <x:v>18</x:v>
      </x:c>
      <x:c r="J7" s="12" t="n">
        <x:v>14</x:v>
      </x:c>
      <x:c r="K7" s="12" t="n">
        <x:v>36</x:v>
      </x:c>
      <x:c r="L7" s="18" t="n">
        <x:f>'参数'!$D$5^A7*'参数'!$D$6^B7*'参数'!$D$7^C7*'参数'!$D$8^D7</x:f>
        <x:v>0.000003814697265625</x:v>
      </x:c>
      <x:c r="M7" s="18" t="n">
        <x:f>E7*L7</x:f>
        <x:v>0.0001373291015625</x:v>
      </x:c>
      <x:c r="N7" s="18" t="n">
        <x:f>F7*L7</x:f>
        <x:v>0.0001373291015625</x:v>
      </x:c>
      <x:c r="O7" s="18" t="n">
        <x:f>G7*L7</x:f>
        <x:v>0</x:v>
      </x:c>
      <x:c r="P7" s="18" t="n">
        <x:f>H7*L7</x:f>
        <x:v>0.0000152587890625</x:v>
      </x:c>
      <x:c r="Q7" s="18" t="n">
        <x:f>I7*L7</x:f>
        <x:v>0.00006866455078125</x:v>
      </x:c>
      <x:c r="R7" s="18" t="n">
        <x:f>J7*L7</x:f>
        <x:v>0.00005340576171875</x:v>
      </x:c>
      <x:c r="S7" s="18" t="n">
        <x:f>K7*L7</x:f>
        <x:v>0.0001373291015625</x:v>
      </x:c>
    </x:row>
    <x:row r="8" ht="27" customHeight="1">
      <x:c r="A8" s="13" t="n">
        <x:v>0</x:v>
      </x:c>
      <x:c r="B8" s="13" t="n">
        <x:v>0</x:v>
      </x:c>
      <x:c r="C8" s="13" t="n">
        <x:v>3</x:v>
      </x:c>
      <x:c r="D8" s="13" t="n">
        <x:v>6</x:v>
      </x:c>
      <x:c r="E8" s="13" t="n">
        <x:v>84</x:v>
      </x:c>
      <x:c r="F8" s="13" t="n">
        <x:v>84</x:v>
      </x:c>
      <x:c r="G8" s="13" t="n">
        <x:v>28</x:v>
      </x:c>
      <x:c r="H8" s="13" t="n">
        <x:v>46</x:v>
      </x:c>
      <x:c r="I8" s="13" t="n">
        <x:v>16</x:v>
      </x:c>
      <x:c r="J8" s="13" t="n">
        <x:v>0</x:v>
      </x:c>
      <x:c r="K8" s="13" t="n">
        <x:v>90</x:v>
      </x:c>
      <x:c r="L8" s="19" t="n">
        <x:f>'参数'!$D$5^A8*'参数'!$D$6^B8*'参数'!$D$7^C8*'参数'!$D$8^D8</x:f>
        <x:v>0.000003814697265625</x:v>
      </x:c>
      <x:c r="M8" s="19" t="n">
        <x:f>E8*L8</x:f>
        <x:v>0.0003204345703125</x:v>
      </x:c>
      <x:c r="N8" s="19" t="n">
        <x:f>F8*L8</x:f>
        <x:v>0.0003204345703125</x:v>
      </x:c>
      <x:c r="O8" s="19" t="n">
        <x:f>G8*L8</x:f>
        <x:v>0.0001068115234375</x:v>
      </x:c>
      <x:c r="P8" s="19" t="n">
        <x:f>H8*L8</x:f>
        <x:v>0.00017547607421875</x:v>
      </x:c>
      <x:c r="Q8" s="19" t="n">
        <x:f>I8*L8</x:f>
        <x:v>0.00006103515625</x:v>
      </x:c>
      <x:c r="R8" s="19" t="n">
        <x:f>J8*L8</x:f>
        <x:v>0</x:v>
      </x:c>
      <x:c r="S8" s="19" t="n">
        <x:f>K8*L8</x:f>
        <x:v>0.00034332275390625</x:v>
      </x:c>
    </x:row>
    <x:row r="9" ht="27" customHeight="1">
      <x:c r="A9" s="12" t="n">
        <x:v>0</x:v>
      </x:c>
      <x:c r="B9" s="12" t="n">
        <x:v>0</x:v>
      </x:c>
      <x:c r="C9" s="12" t="n">
        <x:v>4</x:v>
      </x:c>
      <x:c r="D9" s="12" t="n">
        <x:v>5</x:v>
      </x:c>
      <x:c r="E9" s="12" t="n">
        <x:v>126</x:v>
      </x:c>
      <x:c r="F9" s="12" t="n">
        <x:v>110</x:v>
      </x:c>
      <x:c r="G9" s="12" t="n">
        <x:v>124</x:v>
      </x:c>
      <x:c r="H9" s="12" t="n">
        <x:v>22</x:v>
      </x:c>
      <x:c r="I9" s="12" t="n">
        <x:v>0</x:v>
      </x:c>
      <x:c r="J9" s="12" t="n">
        <x:v>0</x:v>
      </x:c>
      <x:c r="K9" s="12" t="n">
        <x:v>146</x:v>
      </x:c>
      <x:c r="L9" s="18" t="n">
        <x:f>'参数'!$D$5^A9*'参数'!$D$6^B9*'参数'!$D$7^C9*'参数'!$D$8^D9</x:f>
        <x:v>0.000003814697265625</x:v>
      </x:c>
      <x:c r="M9" s="18" t="n">
        <x:f>E9*L9</x:f>
        <x:v>0.00048065185546875</x:v>
      </x:c>
      <x:c r="N9" s="18" t="n">
        <x:f>F9*L9</x:f>
        <x:v>0.00041961669921875</x:v>
      </x:c>
      <x:c r="O9" s="18" t="n">
        <x:f>G9*L9</x:f>
        <x:v>0.0004730224609375</x:v>
      </x:c>
      <x:c r="P9" s="18" t="n">
        <x:f>H9*L9</x:f>
        <x:v>0.00008392333984375</x:v>
      </x:c>
      <x:c r="Q9" s="18" t="n">
        <x:f>I9*L9</x:f>
        <x:v>0</x:v>
      </x:c>
      <x:c r="R9" s="18" t="n">
        <x:f>J9*L9</x:f>
        <x:v>0</x:v>
      </x:c>
      <x:c r="S9" s="18" t="n">
        <x:f>K9*L9</x:f>
        <x:v>0.00055694580078125</x:v>
      </x:c>
    </x:row>
    <x:row r="10" ht="27" customHeight="1">
      <x:c r="A10" s="13" t="n">
        <x:v>0</x:v>
      </x:c>
      <x:c r="B10" s="13" t="n">
        <x:v>0</x:v>
      </x:c>
      <x:c r="C10" s="13" t="n">
        <x:v>5</x:v>
      </x:c>
      <x:c r="D10" s="13" t="n">
        <x:v>4</x:v>
      </x:c>
      <x:c r="E10" s="13" t="n">
        <x:v>126</x:v>
      </x:c>
      <x:c r="F10" s="13" t="n">
        <x:v>110</x:v>
      </x:c>
      <x:c r="G10" s="13" t="n">
        <x:v>124</x:v>
      </x:c>
      <x:c r="H10" s="13" t="n">
        <x:v>22</x:v>
      </x:c>
      <x:c r="I10" s="13" t="n">
        <x:v>0</x:v>
      </x:c>
      <x:c r="J10" s="13" t="n">
        <x:v>0</x:v>
      </x:c>
      <x:c r="K10" s="13" t="n">
        <x:v>146</x:v>
      </x:c>
      <x:c r="L10" s="19" t="n">
        <x:f>'参数'!$D$5^A10*'参数'!$D$6^B10*'参数'!$D$7^C10*'参数'!$D$8^D10</x:f>
        <x:v>0.000003814697265625</x:v>
      </x:c>
      <x:c r="M10" s="19" t="n">
        <x:f>E10*L10</x:f>
        <x:v>0.00048065185546875</x:v>
      </x:c>
      <x:c r="N10" s="19" t="n">
        <x:f>F10*L10</x:f>
        <x:v>0.00041961669921875</x:v>
      </x:c>
      <x:c r="O10" s="19" t="n">
        <x:f>G10*L10</x:f>
        <x:v>0.0004730224609375</x:v>
      </x:c>
      <x:c r="P10" s="19" t="n">
        <x:f>H10*L10</x:f>
        <x:v>0.00008392333984375</x:v>
      </x:c>
      <x:c r="Q10" s="19" t="n">
        <x:f>I10*L10</x:f>
        <x:v>0</x:v>
      </x:c>
      <x:c r="R10" s="19" t="n">
        <x:f>J10*L10</x:f>
        <x:v>0</x:v>
      </x:c>
      <x:c r="S10" s="19" t="n">
        <x:f>K10*L10</x:f>
        <x:v>0.00055694580078125</x:v>
      </x:c>
    </x:row>
    <x:row r="11" ht="27" customHeight="1">
      <x:c r="A11" s="12" t="n">
        <x:v>0</x:v>
      </x:c>
      <x:c r="B11" s="12" t="n">
        <x:v>0</x:v>
      </x:c>
      <x:c r="C11" s="12" t="n">
        <x:v>6</x:v>
      </x:c>
      <x:c r="D11" s="12" t="n">
        <x:v>3</x:v>
      </x:c>
      <x:c r="E11" s="12" t="n">
        <x:v>84</x:v>
      </x:c>
      <x:c r="F11" s="12" t="n">
        <x:v>84</x:v>
      </x:c>
      <x:c r="G11" s="12" t="n">
        <x:v>28</x:v>
      </x:c>
      <x:c r="H11" s="12" t="n">
        <x:v>46</x:v>
      </x:c>
      <x:c r="I11" s="12" t="n">
        <x:v>16</x:v>
      </x:c>
      <x:c r="J11" s="12" t="n">
        <x:v>0</x:v>
      </x:c>
      <x:c r="K11" s="12" t="n">
        <x:v>90</x:v>
      </x:c>
      <x:c r="L11" s="18" t="n">
        <x:f>'参数'!$D$5^A11*'参数'!$D$6^B11*'参数'!$D$7^C11*'参数'!$D$8^D11</x:f>
        <x:v>0.000003814697265625</x:v>
      </x:c>
      <x:c r="M11" s="18" t="n">
        <x:f>E11*L11</x:f>
        <x:v>0.0003204345703125</x:v>
      </x:c>
      <x:c r="N11" s="18" t="n">
        <x:f>F11*L11</x:f>
        <x:v>0.0003204345703125</x:v>
      </x:c>
      <x:c r="O11" s="18" t="n">
        <x:f>G11*L11</x:f>
        <x:v>0.0001068115234375</x:v>
      </x:c>
      <x:c r="P11" s="18" t="n">
        <x:f>H11*L11</x:f>
        <x:v>0.00017547607421875</x:v>
      </x:c>
      <x:c r="Q11" s="18" t="n">
        <x:f>I11*L11</x:f>
        <x:v>0.00006103515625</x:v>
      </x:c>
      <x:c r="R11" s="18" t="n">
        <x:f>J11*L11</x:f>
        <x:v>0</x:v>
      </x:c>
      <x:c r="S11" s="18" t="n">
        <x:f>K11*L11</x:f>
        <x:v>0.00034332275390625</x:v>
      </x:c>
    </x:row>
    <x:row r="12" ht="27" customHeight="1">
      <x:c r="A12" s="13" t="n">
        <x:v>0</x:v>
      </x:c>
      <x:c r="B12" s="13" t="n">
        <x:v>0</x:v>
      </x:c>
      <x:c r="C12" s="13" t="n">
        <x:v>7</x:v>
      </x:c>
      <x:c r="D12" s="13" t="n">
        <x:v>2</x:v>
      </x:c>
      <x:c r="E12" s="13" t="n">
        <x:v>36</x:v>
      </x:c>
      <x:c r="F12" s="13" t="n">
        <x:v>36</x:v>
      </x:c>
      <x:c r="G12" s="13" t="n">
        <x:v>0</x:v>
      </x:c>
      <x:c r="H12" s="13" t="n">
        <x:v>4</x:v>
      </x:c>
      <x:c r="I12" s="13" t="n">
        <x:v>18</x:v>
      </x:c>
      <x:c r="J12" s="13" t="n">
        <x:v>14</x:v>
      </x:c>
      <x:c r="K12" s="13" t="n">
        <x:v>36</x:v>
      </x:c>
      <x:c r="L12" s="19" t="n">
        <x:f>'参数'!$D$5^A12*'参数'!$D$6^B12*'参数'!$D$7^C12*'参数'!$D$8^D12</x:f>
        <x:v>0.000003814697265625</x:v>
      </x:c>
      <x:c r="M12" s="19" t="n">
        <x:f>E12*L12</x:f>
        <x:v>0.0001373291015625</x:v>
      </x:c>
      <x:c r="N12" s="19" t="n">
        <x:f>F12*L12</x:f>
        <x:v>0.0001373291015625</x:v>
      </x:c>
      <x:c r="O12" s="19" t="n">
        <x:f>G12*L12</x:f>
        <x:v>0</x:v>
      </x:c>
      <x:c r="P12" s="19" t="n">
        <x:f>H12*L12</x:f>
        <x:v>0.0000152587890625</x:v>
      </x:c>
      <x:c r="Q12" s="19" t="n">
        <x:f>I12*L12</x:f>
        <x:v>0.00006866455078125</x:v>
      </x:c>
      <x:c r="R12" s="19" t="n">
        <x:f>J12*L12</x:f>
        <x:v>0.00005340576171875</x:v>
      </x:c>
      <x:c r="S12" s="19" t="n">
        <x:f>K12*L12</x:f>
        <x:v>0.0001373291015625</x:v>
      </x:c>
    </x:row>
    <x:row r="13" ht="27" customHeight="1">
      <x:c r="A13" s="12" t="n">
        <x:v>0</x:v>
      </x:c>
      <x:c r="B13" s="12" t="n">
        <x:v>0</x:v>
      </x:c>
      <x:c r="C13" s="12" t="n">
        <x:v>8</x:v>
      </x:c>
      <x:c r="D13" s="12" t="n">
        <x:v>1</x:v>
      </x:c>
      <x:c r="E13" s="12" t="n">
        <x:v>9</x:v>
      </x:c>
      <x:c r="F13" s="12" t="n">
        <x:v>9</x:v>
      </x:c>
      <x:c r="G13" s="12" t="n">
        <x:v>0</x:v>
      </x:c>
      <x:c r="H13" s="12" t="n">
        <x:v>0</x:v>
      </x:c>
      <x:c r="I13" s="12" t="n">
        <x:v>0</x:v>
      </x:c>
      <x:c r="J13" s="12" t="n">
        <x:v>9</x:v>
      </x:c>
      <x:c r="K13" s="12" t="n">
        <x:v>9</x:v>
      </x:c>
      <x:c r="L13" s="18" t="n">
        <x:f>'参数'!$D$5^A13*'参数'!$D$6^B13*'参数'!$D$7^C13*'参数'!$D$8^D13</x:f>
        <x:v>0.000003814697265625</x:v>
      </x:c>
      <x:c r="M13" s="18" t="n">
        <x:f>E13*L13</x:f>
        <x:v>0.000034332275390625</x:v>
      </x:c>
      <x:c r="N13" s="18" t="n">
        <x:f>F13*L13</x:f>
        <x:v>0.000034332275390625</x:v>
      </x:c>
      <x:c r="O13" s="18" t="n">
        <x:f>G13*L13</x:f>
        <x:v>0</x:v>
      </x:c>
      <x:c r="P13" s="18" t="n">
        <x:f>H13*L13</x:f>
        <x:v>0</x:v>
      </x:c>
      <x:c r="Q13" s="18" t="n">
        <x:f>I13*L13</x:f>
        <x:v>0</x:v>
      </x:c>
      <x:c r="R13" s="18" t="n">
        <x:f>J13*L13</x:f>
        <x:v>0.000034332275390625</x:v>
      </x:c>
      <x:c r="S13" s="18" t="n">
        <x:f>K13*L13</x:f>
        <x:v>0.000034332275390625</x:v>
      </x:c>
    </x:row>
    <x:row r="14" ht="27" customHeight="1">
      <x:c r="A14" s="13" t="n">
        <x:v>0</x:v>
      </x:c>
      <x:c r="B14" s="13" t="n">
        <x:v>0</x:v>
      </x:c>
      <x:c r="C14" s="13" t="n">
        <x:v>9</x:v>
      </x:c>
      <x:c r="D14" s="13" t="n">
        <x:v>0</x:v>
      </x:c>
      <x:c r="E14" s="13" t="n">
        <x:v>1</x:v>
      </x:c>
      <x:c r="F14" s="13" t="n">
        <x:v>1</x:v>
      </x:c>
      <x:c r="G14" s="13" t="n">
        <x:v>0</x:v>
      </x:c>
      <x:c r="H14" s="13" t="n">
        <x:v>0</x:v>
      </x:c>
      <x:c r="I14" s="13" t="n">
        <x:v>0</x:v>
      </x:c>
      <x:c r="J14" s="13" t="n">
        <x:v>1</x:v>
      </x:c>
      <x:c r="K14" s="13" t="n">
        <x:v>1</x:v>
      </x:c>
      <x:c r="L14" s="19" t="n">
        <x:f>'参数'!$D$5^A14*'参数'!$D$6^B14*'参数'!$D$7^C14*'参数'!$D$8^D14</x:f>
        <x:v>0.000003814697265625</x:v>
      </x:c>
      <x:c r="M14" s="19" t="n">
        <x:f>E14*L14</x:f>
        <x:v>0.000003814697265625</x:v>
      </x:c>
      <x:c r="N14" s="19" t="n">
        <x:f>F14*L14</x:f>
        <x:v>0.000003814697265625</x:v>
      </x:c>
      <x:c r="O14" s="19" t="n">
        <x:f>G14*L14</x:f>
        <x:v>0</x:v>
      </x:c>
      <x:c r="P14" s="19" t="n">
        <x:f>H14*L14</x:f>
        <x:v>0</x:v>
      </x:c>
      <x:c r="Q14" s="19" t="n">
        <x:f>I14*L14</x:f>
        <x:v>0</x:v>
      </x:c>
      <x:c r="R14" s="19" t="n">
        <x:f>J14*L14</x:f>
        <x:v>0.000003814697265625</x:v>
      </x:c>
      <x:c r="S14" s="19" t="n">
        <x:f>K14*L14</x:f>
        <x:v>0.000003814697265625</x:v>
      </x:c>
    </x:row>
    <x:row r="15" ht="27" customHeight="1">
      <x:c r="A15" s="12" t="n">
        <x:v>0</x:v>
      </x:c>
      <x:c r="B15" s="12" t="n">
        <x:v>1</x:v>
      </x:c>
      <x:c r="C15" s="12" t="n">
        <x:v>0</x:v>
      </x:c>
      <x:c r="D15" s="12" t="n">
        <x:v>8</x:v>
      </x:c>
      <x:c r="E15" s="12" t="n">
        <x:v>9</x:v>
      </x:c>
      <x:c r="F15" s="12" t="n">
        <x:v>9</x:v>
      </x:c>
      <x:c r="G15" s="12" t="n">
        <x:v>0</x:v>
      </x:c>
      <x:c r="H15" s="12" t="n">
        <x:v>0</x:v>
      </x:c>
      <x:c r="I15" s="12" t="n">
        <x:v>0</x:v>
      </x:c>
      <x:c r="J15" s="12" t="n">
        <x:v>9</x:v>
      </x:c>
      <x:c r="K15" s="12" t="n">
        <x:v>9</x:v>
      </x:c>
      <x:c r="L15" s="18" t="n">
        <x:f>'参数'!$D$5^A15*'参数'!$D$6^B15*'参数'!$D$7^C15*'参数'!$D$8^D15</x:f>
        <x:v>0.000003814697265625</x:v>
      </x:c>
      <x:c r="M15" s="18" t="n">
        <x:f>E15*L15</x:f>
        <x:v>0.000034332275390625</x:v>
      </x:c>
      <x:c r="N15" s="18" t="n">
        <x:f>F15*L15</x:f>
        <x:v>0.000034332275390625</x:v>
      </x:c>
      <x:c r="O15" s="18" t="n">
        <x:f>G15*L15</x:f>
        <x:v>0</x:v>
      </x:c>
      <x:c r="P15" s="18" t="n">
        <x:f>H15*L15</x:f>
        <x:v>0</x:v>
      </x:c>
      <x:c r="Q15" s="18" t="n">
        <x:f>I15*L15</x:f>
        <x:v>0</x:v>
      </x:c>
      <x:c r="R15" s="18" t="n">
        <x:f>J15*L15</x:f>
        <x:v>0.000034332275390625</x:v>
      </x:c>
      <x:c r="S15" s="18" t="n">
        <x:f>K15*L15</x:f>
        <x:v>0.000034332275390625</x:v>
      </x:c>
    </x:row>
    <x:row r="16" ht="27" customHeight="1">
      <x:c r="A16" s="13" t="n">
        <x:v>0</x:v>
      </x:c>
      <x:c r="B16" s="13" t="n">
        <x:v>1</x:v>
      </x:c>
      <x:c r="C16" s="13" t="n">
        <x:v>1</x:v>
      </x:c>
      <x:c r="D16" s="13" t="n">
        <x:v>7</x:v>
      </x:c>
      <x:c r="E16" s="13" t="n">
        <x:v>72</x:v>
      </x:c>
      <x:c r="F16" s="13" t="n">
        <x:v>72</x:v>
      </x:c>
      <x:c r="G16" s="13" t="n">
        <x:v>0</x:v>
      </x:c>
      <x:c r="H16" s="13" t="n">
        <x:v>8</x:v>
      </x:c>
      <x:c r="I16" s="13" t="n">
        <x:v>36</x:v>
      </x:c>
      <x:c r="J16" s="13" t="n">
        <x:v>28</x:v>
      </x:c>
      <x:c r="K16" s="13" t="n">
        <x:v>72</x:v>
      </x:c>
      <x:c r="L16" s="19" t="n">
        <x:f>'参数'!$D$5^A16*'参数'!$D$6^B16*'参数'!$D$7^C16*'参数'!$D$8^D16</x:f>
        <x:v>0.000003814697265625</x:v>
      </x:c>
      <x:c r="M16" s="19" t="n">
        <x:f>E16*L16</x:f>
        <x:v>0.000274658203125</x:v>
      </x:c>
      <x:c r="N16" s="19" t="n">
        <x:f>F16*L16</x:f>
        <x:v>0.000274658203125</x:v>
      </x:c>
      <x:c r="O16" s="19" t="n">
        <x:f>G16*L16</x:f>
        <x:v>0</x:v>
      </x:c>
      <x:c r="P16" s="19" t="n">
        <x:f>H16*L16</x:f>
        <x:v>0.000030517578125</x:v>
      </x:c>
      <x:c r="Q16" s="19" t="n">
        <x:f>I16*L16</x:f>
        <x:v>0.0001373291015625</x:v>
      </x:c>
      <x:c r="R16" s="19" t="n">
        <x:f>J16*L16</x:f>
        <x:v>0.0001068115234375</x:v>
      </x:c>
      <x:c r="S16" s="19" t="n">
        <x:f>K16*L16</x:f>
        <x:v>0.000274658203125</x:v>
      </x:c>
    </x:row>
    <x:row r="17" ht="27" customHeight="1">
      <x:c r="A17" s="12" t="n">
        <x:v>0</x:v>
      </x:c>
      <x:c r="B17" s="12" t="n">
        <x:v>1</x:v>
      </x:c>
      <x:c r="C17" s="12" t="n">
        <x:v>2</x:v>
      </x:c>
      <x:c r="D17" s="12" t="n">
        <x:v>6</x:v>
      </x:c>
      <x:c r="E17" s="12" t="n">
        <x:v>252</x:v>
      </x:c>
      <x:c r="F17" s="12" t="n">
        <x:v>246</x:v>
      </x:c>
      <x:c r="G17" s="12" t="n">
        <x:v>60</x:v>
      </x:c>
      <x:c r="H17" s="12" t="n">
        <x:v>138</x:v>
      </x:c>
      <x:c r="I17" s="12" t="n">
        <x:v>48</x:v>
      </x:c>
      <x:c r="J17" s="12" t="n">
        <x:v>0</x:v>
      </x:c>
      <x:c r="K17" s="12" t="n">
        <x:v>246</x:v>
      </x:c>
      <x:c r="L17" s="18" t="n">
        <x:f>'参数'!$D$5^A17*'参数'!$D$6^B17*'参数'!$D$7^C17*'参数'!$D$8^D17</x:f>
        <x:v>0.000003814697265625</x:v>
      </x:c>
      <x:c r="M17" s="18" t="n">
        <x:f>E17*L17</x:f>
        <x:v>0.0009613037109375</x:v>
      </x:c>
      <x:c r="N17" s="18" t="n">
        <x:f>F17*L17</x:f>
        <x:v>0.00093841552734375</x:v>
      </x:c>
      <x:c r="O17" s="18" t="n">
        <x:f>G17*L17</x:f>
        <x:v>0.0002288818359375</x:v>
      </x:c>
      <x:c r="P17" s="18" t="n">
        <x:f>H17*L17</x:f>
        <x:v>0.00052642822265625</x:v>
      </x:c>
      <x:c r="Q17" s="18" t="n">
        <x:f>I17*L17</x:f>
        <x:v>0.00018310546875</x:v>
      </x:c>
      <x:c r="R17" s="18" t="n">
        <x:f>J17*L17</x:f>
        <x:v>0</x:v>
      </x:c>
      <x:c r="S17" s="18" t="n">
        <x:f>K17*L17</x:f>
        <x:v>0.00093841552734375</x:v>
      </x:c>
    </x:row>
    <x:row r="18" ht="27" customHeight="1">
      <x:c r="A18" s="13" t="n">
        <x:v>0</x:v>
      </x:c>
      <x:c r="B18" s="13" t="n">
        <x:v>1</x:v>
      </x:c>
      <x:c r="C18" s="13" t="n">
        <x:v>3</x:v>
      </x:c>
      <x:c r="D18" s="13" t="n">
        <x:v>5</x:v>
      </x:c>
      <x:c r="E18" s="13" t="n">
        <x:v>504</x:v>
      </x:c>
      <x:c r="F18" s="13" t="n">
        <x:v>404</x:v>
      </x:c>
      <x:c r="G18" s="13" t="n">
        <x:v>352</x:v>
      </x:c>
      <x:c r="H18" s="13" t="n">
        <x:v>88</x:v>
      </x:c>
      <x:c r="I18" s="13" t="n">
        <x:v>0</x:v>
      </x:c>
      <x:c r="J18" s="13" t="n">
        <x:v>0</x:v>
      </x:c>
      <x:c r="K18" s="13" t="n">
        <x:v>440</x:v>
      </x:c>
      <x:c r="L18" s="19" t="n">
        <x:f>'参数'!$D$5^A18*'参数'!$D$6^B18*'参数'!$D$7^C18*'参数'!$D$8^D18</x:f>
        <x:v>0.000003814697265625</x:v>
      </x:c>
      <x:c r="M18" s="19" t="n">
        <x:f>E18*L18</x:f>
        <x:v>0.001922607421875</x:v>
      </x:c>
      <x:c r="N18" s="19" t="n">
        <x:f>F18*L18</x:f>
        <x:v>0.0015411376953125</x:v>
      </x:c>
      <x:c r="O18" s="19" t="n">
        <x:f>G18*L18</x:f>
        <x:v>0.0013427734375</x:v>
      </x:c>
      <x:c r="P18" s="19" t="n">
        <x:f>H18*L18</x:f>
        <x:v>0.000335693359375</x:v>
      </x:c>
      <x:c r="Q18" s="19" t="n">
        <x:f>I18*L18</x:f>
        <x:v>0</x:v>
      </x:c>
      <x:c r="R18" s="19" t="n">
        <x:f>J18*L18</x:f>
        <x:v>0</x:v>
      </x:c>
      <x:c r="S18" s="19" t="n">
        <x:f>K18*L18</x:f>
        <x:v>0.001678466796875</x:v>
      </x:c>
    </x:row>
    <x:row r="19" ht="27" customHeight="1">
      <x:c r="A19" s="12" t="n">
        <x:v>0</x:v>
      </x:c>
      <x:c r="B19" s="12" t="n">
        <x:v>1</x:v>
      </x:c>
      <x:c r="C19" s="12" t="n">
        <x:v>4</x:v>
      </x:c>
      <x:c r="D19" s="12" t="n">
        <x:v>4</x:v>
      </x:c>
      <x:c r="E19" s="12" t="n">
        <x:v>630</x:v>
      </x:c>
      <x:c r="F19" s="12" t="n">
        <x:v>408</x:v>
      </x:c>
      <x:c r="G19" s="12" t="n">
        <x:v>480</x:v>
      </x:c>
      <x:c r="H19" s="12" t="n">
        <x:v>0</x:v>
      </x:c>
      <x:c r="I19" s="12" t="n">
        <x:v>0</x:v>
      </x:c>
      <x:c r="J19" s="12" t="n">
        <x:v>0</x:v>
      </x:c>
      <x:c r="K19" s="12" t="n">
        <x:v>480</x:v>
      </x:c>
      <x:c r="L19" s="18" t="n">
        <x:f>'参数'!$D$5^A19*'参数'!$D$6^B19*'参数'!$D$7^C19*'参数'!$D$8^D19</x:f>
        <x:v>0.000003814697265625</x:v>
      </x:c>
      <x:c r="M19" s="18" t="n">
        <x:f>E19*L19</x:f>
        <x:v>0.00240325927734375</x:v>
      </x:c>
      <x:c r="N19" s="18" t="n">
        <x:f>F19*L19</x:f>
        <x:v>0.001556396484375</x:v>
      </x:c>
      <x:c r="O19" s="18" t="n">
        <x:f>G19*L19</x:f>
        <x:v>0.0018310546875</x:v>
      </x:c>
      <x:c r="P19" s="18" t="n">
        <x:f>H19*L19</x:f>
        <x:v>0</x:v>
      </x:c>
      <x:c r="Q19" s="18" t="n">
        <x:f>I19*L19</x:f>
        <x:v>0</x:v>
      </x:c>
      <x:c r="R19" s="18" t="n">
        <x:f>J19*L19</x:f>
        <x:v>0</x:v>
      </x:c>
      <x:c r="S19" s="18" t="n">
        <x:f>K19*L19</x:f>
        <x:v>0.0018310546875</x:v>
      </x:c>
    </x:row>
    <x:row r="20" ht="27" customHeight="1">
      <x:c r="A20" s="13" t="n">
        <x:v>0</x:v>
      </x:c>
      <x:c r="B20" s="13" t="n">
        <x:v>1</x:v>
      </x:c>
      <x:c r="C20" s="13" t="n">
        <x:v>5</x:v>
      </x:c>
      <x:c r="D20" s="13" t="n">
        <x:v>3</x:v>
      </x:c>
      <x:c r="E20" s="13" t="n">
        <x:v>504</x:v>
      </x:c>
      <x:c r="F20" s="13" t="n">
        <x:v>404</x:v>
      </x:c>
      <x:c r="G20" s="13" t="n">
        <x:v>352</x:v>
      </x:c>
      <x:c r="H20" s="13" t="n">
        <x:v>88</x:v>
      </x:c>
      <x:c r="I20" s="13" t="n">
        <x:v>0</x:v>
      </x:c>
      <x:c r="J20" s="13" t="n">
        <x:v>0</x:v>
      </x:c>
      <x:c r="K20" s="13" t="n">
        <x:v>440</x:v>
      </x:c>
      <x:c r="L20" s="19" t="n">
        <x:f>'参数'!$D$5^A20*'参数'!$D$6^B20*'参数'!$D$7^C20*'参数'!$D$8^D20</x:f>
        <x:v>0.000003814697265625</x:v>
      </x:c>
      <x:c r="M20" s="19" t="n">
        <x:f>E20*L20</x:f>
        <x:v>0.001922607421875</x:v>
      </x:c>
      <x:c r="N20" s="19" t="n">
        <x:f>F20*L20</x:f>
        <x:v>0.0015411376953125</x:v>
      </x:c>
      <x:c r="O20" s="19" t="n">
        <x:f>G20*L20</x:f>
        <x:v>0.0013427734375</x:v>
      </x:c>
      <x:c r="P20" s="19" t="n">
        <x:f>H20*L20</x:f>
        <x:v>0.000335693359375</x:v>
      </x:c>
      <x:c r="Q20" s="19" t="n">
        <x:f>I20*L20</x:f>
        <x:v>0</x:v>
      </x:c>
      <x:c r="R20" s="19" t="n">
        <x:f>J20*L20</x:f>
        <x:v>0</x:v>
      </x:c>
      <x:c r="S20" s="19" t="n">
        <x:f>K20*L20</x:f>
        <x:v>0.001678466796875</x:v>
      </x:c>
    </x:row>
    <x:row r="21" ht="27" customHeight="1">
      <x:c r="A21" s="12" t="n">
        <x:v>0</x:v>
      </x:c>
      <x:c r="B21" s="12" t="n">
        <x:v>1</x:v>
      </x:c>
      <x:c r="C21" s="12" t="n">
        <x:v>6</x:v>
      </x:c>
      <x:c r="D21" s="12" t="n">
        <x:v>2</x:v>
      </x:c>
      <x:c r="E21" s="12" t="n">
        <x:v>252</x:v>
      </x:c>
      <x:c r="F21" s="12" t="n">
        <x:v>246</x:v>
      </x:c>
      <x:c r="G21" s="12" t="n">
        <x:v>60</x:v>
      </x:c>
      <x:c r="H21" s="12" t="n">
        <x:v>138</x:v>
      </x:c>
      <x:c r="I21" s="12" t="n">
        <x:v>48</x:v>
      </x:c>
      <x:c r="J21" s="12" t="n">
        <x:v>0</x:v>
      </x:c>
      <x:c r="K21" s="12" t="n">
        <x:v>246</x:v>
      </x:c>
      <x:c r="L21" s="18" t="n">
        <x:f>'参数'!$D$5^A21*'参数'!$D$6^B21*'参数'!$D$7^C21*'参数'!$D$8^D21</x:f>
        <x:v>0.000003814697265625</x:v>
      </x:c>
      <x:c r="M21" s="18" t="n">
        <x:f>E21*L21</x:f>
        <x:v>0.0009613037109375</x:v>
      </x:c>
      <x:c r="N21" s="18" t="n">
        <x:f>F21*L21</x:f>
        <x:v>0.00093841552734375</x:v>
      </x:c>
      <x:c r="O21" s="18" t="n">
        <x:f>G21*L21</x:f>
        <x:v>0.0002288818359375</x:v>
      </x:c>
      <x:c r="P21" s="18" t="n">
        <x:f>H21*L21</x:f>
        <x:v>0.00052642822265625</x:v>
      </x:c>
      <x:c r="Q21" s="18" t="n">
        <x:f>I21*L21</x:f>
        <x:v>0.00018310546875</x:v>
      </x:c>
      <x:c r="R21" s="18" t="n">
        <x:f>J21*L21</x:f>
        <x:v>0</x:v>
      </x:c>
      <x:c r="S21" s="18" t="n">
        <x:f>K21*L21</x:f>
        <x:v>0.00093841552734375</x:v>
      </x:c>
    </x:row>
    <x:row r="22" ht="27" customHeight="1">
      <x:c r="A22" s="13" t="n">
        <x:v>0</x:v>
      </x:c>
      <x:c r="B22" s="13" t="n">
        <x:v>1</x:v>
      </x:c>
      <x:c r="C22" s="13" t="n">
        <x:v>7</x:v>
      </x:c>
      <x:c r="D22" s="13" t="n">
        <x:v>1</x:v>
      </x:c>
      <x:c r="E22" s="13" t="n">
        <x:v>72</x:v>
      </x:c>
      <x:c r="F22" s="13" t="n">
        <x:v>72</x:v>
      </x:c>
      <x:c r="G22" s="13" t="n">
        <x:v>0</x:v>
      </x:c>
      <x:c r="H22" s="13" t="n">
        <x:v>8</x:v>
      </x:c>
      <x:c r="I22" s="13" t="n">
        <x:v>36</x:v>
      </x:c>
      <x:c r="J22" s="13" t="n">
        <x:v>28</x:v>
      </x:c>
      <x:c r="K22" s="13" t="n">
        <x:v>72</x:v>
      </x:c>
      <x:c r="L22" s="19" t="n">
        <x:f>'参数'!$D$5^A22*'参数'!$D$6^B22*'参数'!$D$7^C22*'参数'!$D$8^D22</x:f>
        <x:v>0.000003814697265625</x:v>
      </x:c>
      <x:c r="M22" s="19" t="n">
        <x:f>E22*L22</x:f>
        <x:v>0.000274658203125</x:v>
      </x:c>
      <x:c r="N22" s="19" t="n">
        <x:f>F22*L22</x:f>
        <x:v>0.000274658203125</x:v>
      </x:c>
      <x:c r="O22" s="19" t="n">
        <x:f>G22*L22</x:f>
        <x:v>0</x:v>
      </x:c>
      <x:c r="P22" s="19" t="n">
        <x:f>H22*L22</x:f>
        <x:v>0.000030517578125</x:v>
      </x:c>
      <x:c r="Q22" s="19" t="n">
        <x:f>I22*L22</x:f>
        <x:v>0.0001373291015625</x:v>
      </x:c>
      <x:c r="R22" s="19" t="n">
        <x:f>J22*L22</x:f>
        <x:v>0.0001068115234375</x:v>
      </x:c>
      <x:c r="S22" s="19" t="n">
        <x:f>K22*L22</x:f>
        <x:v>0.000274658203125</x:v>
      </x:c>
    </x:row>
    <x:row r="23" ht="27" customHeight="1">
      <x:c r="A23" s="12" t="n">
        <x:v>0</x:v>
      </x:c>
      <x:c r="B23" s="12" t="n">
        <x:v>1</x:v>
      </x:c>
      <x:c r="C23" s="12" t="n">
        <x:v>8</x:v>
      </x:c>
      <x:c r="D23" s="12" t="n">
        <x:v>0</x:v>
      </x:c>
      <x:c r="E23" s="12" t="n">
        <x:v>9</x:v>
      </x:c>
      <x:c r="F23" s="12" t="n">
        <x:v>9</x:v>
      </x:c>
      <x:c r="G23" s="12" t="n">
        <x:v>0</x:v>
      </x:c>
      <x:c r="H23" s="12" t="n">
        <x:v>0</x:v>
      </x:c>
      <x:c r="I23" s="12" t="n">
        <x:v>0</x:v>
      </x:c>
      <x:c r="J23" s="12" t="n">
        <x:v>9</x:v>
      </x:c>
      <x:c r="K23" s="12" t="n">
        <x:v>9</x:v>
      </x:c>
      <x:c r="L23" s="18" t="n">
        <x:f>'参数'!$D$5^A23*'参数'!$D$6^B23*'参数'!$D$7^C23*'参数'!$D$8^D23</x:f>
        <x:v>0.000003814697265625</x:v>
      </x:c>
      <x:c r="M23" s="18" t="n">
        <x:f>E23*L23</x:f>
        <x:v>0.000034332275390625</x:v>
      </x:c>
      <x:c r="N23" s="18" t="n">
        <x:f>F23*L23</x:f>
        <x:v>0.000034332275390625</x:v>
      </x:c>
      <x:c r="O23" s="18" t="n">
        <x:f>G23*L23</x:f>
        <x:v>0</x:v>
      </x:c>
      <x:c r="P23" s="18" t="n">
        <x:f>H23*L23</x:f>
        <x:v>0</x:v>
      </x:c>
      <x:c r="Q23" s="18" t="n">
        <x:f>I23*L23</x:f>
        <x:v>0</x:v>
      </x:c>
      <x:c r="R23" s="18" t="n">
        <x:f>J23*L23</x:f>
        <x:v>0.000034332275390625</x:v>
      </x:c>
      <x:c r="S23" s="18" t="n">
        <x:f>K23*L23</x:f>
        <x:v>0.000034332275390625</x:v>
      </x:c>
    </x:row>
    <x:row r="24" ht="27" customHeight="1">
      <x:c r="A24" s="13" t="n">
        <x:v>0</x:v>
      </x:c>
      <x:c r="B24" s="13" t="n">
        <x:v>2</x:v>
      </x:c>
      <x:c r="C24" s="13" t="n">
        <x:v>0</x:v>
      </x:c>
      <x:c r="D24" s="13" t="n">
        <x:v>7</x:v>
      </x:c>
      <x:c r="E24" s="13" t="n">
        <x:v>36</x:v>
      </x:c>
      <x:c r="F24" s="13" t="n">
        <x:v>36</x:v>
      </x:c>
      <x:c r="G24" s="13" t="n">
        <x:v>0</x:v>
      </x:c>
      <x:c r="H24" s="13" t="n">
        <x:v>4</x:v>
      </x:c>
      <x:c r="I24" s="13" t="n">
        <x:v>18</x:v>
      </x:c>
      <x:c r="J24" s="13" t="n">
        <x:v>14</x:v>
      </x:c>
      <x:c r="K24" s="13" t="n">
        <x:v>36</x:v>
      </x:c>
      <x:c r="L24" s="19" t="n">
        <x:f>'参数'!$D$5^A24*'参数'!$D$6^B24*'参数'!$D$7^C24*'参数'!$D$8^D24</x:f>
        <x:v>0.000003814697265625</x:v>
      </x:c>
      <x:c r="M24" s="19" t="n">
        <x:f>E24*L24</x:f>
        <x:v>0.0001373291015625</x:v>
      </x:c>
      <x:c r="N24" s="19" t="n">
        <x:f>F24*L24</x:f>
        <x:v>0.0001373291015625</x:v>
      </x:c>
      <x:c r="O24" s="19" t="n">
        <x:f>G24*L24</x:f>
        <x:v>0</x:v>
      </x:c>
      <x:c r="P24" s="19" t="n">
        <x:f>H24*L24</x:f>
        <x:v>0.0000152587890625</x:v>
      </x:c>
      <x:c r="Q24" s="19" t="n">
        <x:f>I24*L24</x:f>
        <x:v>0.00006866455078125</x:v>
      </x:c>
      <x:c r="R24" s="19" t="n">
        <x:f>J24*L24</x:f>
        <x:v>0.00005340576171875</x:v>
      </x:c>
      <x:c r="S24" s="19" t="n">
        <x:f>K24*L24</x:f>
        <x:v>0.0001373291015625</x:v>
      </x:c>
    </x:row>
    <x:row r="25" ht="27" customHeight="1">
      <x:c r="A25" s="12" t="n">
        <x:v>0</x:v>
      </x:c>
      <x:c r="B25" s="12" t="n">
        <x:v>2</x:v>
      </x:c>
      <x:c r="C25" s="12" t="n">
        <x:v>1</x:v>
      </x:c>
      <x:c r="D25" s="12" t="n">
        <x:v>6</x:v>
      </x:c>
      <x:c r="E25" s="12" t="n">
        <x:v>252</x:v>
      </x:c>
      <x:c r="F25" s="12" t="n">
        <x:v>246</x:v>
      </x:c>
      <x:c r="G25" s="12" t="n">
        <x:v>60</x:v>
      </x:c>
      <x:c r="H25" s="12" t="n">
        <x:v>138</x:v>
      </x:c>
      <x:c r="I25" s="12" t="n">
        <x:v>48</x:v>
      </x:c>
      <x:c r="J25" s="12" t="n">
        <x:v>0</x:v>
      </x:c>
      <x:c r="K25" s="12" t="n">
        <x:v>246</x:v>
      </x:c>
      <x:c r="L25" s="18" t="n">
        <x:f>'参数'!$D$5^A25*'参数'!$D$6^B25*'参数'!$D$7^C25*'参数'!$D$8^D25</x:f>
        <x:v>0.000003814697265625</x:v>
      </x:c>
      <x:c r="M25" s="18" t="n">
        <x:f>E25*L25</x:f>
        <x:v>0.0009613037109375</x:v>
      </x:c>
      <x:c r="N25" s="18" t="n">
        <x:f>F25*L25</x:f>
        <x:v>0.00093841552734375</x:v>
      </x:c>
      <x:c r="O25" s="18" t="n">
        <x:f>G25*L25</x:f>
        <x:v>0.0002288818359375</x:v>
      </x:c>
      <x:c r="P25" s="18" t="n">
        <x:f>H25*L25</x:f>
        <x:v>0.00052642822265625</x:v>
      </x:c>
      <x:c r="Q25" s="18" t="n">
        <x:f>I25*L25</x:f>
        <x:v>0.00018310546875</x:v>
      </x:c>
      <x:c r="R25" s="18" t="n">
        <x:f>J25*L25</x:f>
        <x:v>0</x:v>
      </x:c>
      <x:c r="S25" s="18" t="n">
        <x:f>K25*L25</x:f>
        <x:v>0.00093841552734375</x:v>
      </x:c>
    </x:row>
    <x:row r="26" ht="27" customHeight="1">
      <x:c r="A26" s="13" t="n">
        <x:v>0</x:v>
      </x:c>
      <x:c r="B26" s="13" t="n">
        <x:v>2</x:v>
      </x:c>
      <x:c r="C26" s="13" t="n">
        <x:v>2</x:v>
      </x:c>
      <x:c r="D26" s="13" t="n">
        <x:v>5</x:v>
      </x:c>
      <x:c r="E26" s="13" t="n">
        <x:v>756</x:v>
      </x:c>
      <x:c r="F26" s="13" t="n">
        <x:v>588</x:v>
      </x:c>
      <x:c r="G26" s="13" t="n">
        <x:v>456</x:v>
      </x:c>
      <x:c r="H26" s="13" t="n">
        <x:v>132</x:v>
      </x:c>
      <x:c r="I26" s="13" t="n">
        <x:v>0</x:v>
      </x:c>
      <x:c r="J26" s="13" t="n">
        <x:v>0</x:v>
      </x:c>
      <x:c r="K26" s="13" t="n">
        <x:v>588</x:v>
      </x:c>
      <x:c r="L26" s="19" t="n">
        <x:f>'参数'!$D$5^A26*'参数'!$D$6^B26*'参数'!$D$7^C26*'参数'!$D$8^D26</x:f>
        <x:v>0.000003814697265625</x:v>
      </x:c>
      <x:c r="M26" s="19" t="n">
        <x:f>E26*L26</x:f>
        <x:v>0.0028839111328125</x:v>
      </x:c>
      <x:c r="N26" s="19" t="n">
        <x:f>F26*L26</x:f>
        <x:v>0.0022430419921875</x:v>
      </x:c>
      <x:c r="O26" s="19" t="n">
        <x:f>G26*L26</x:f>
        <x:v>0.001739501953125</x:v>
      </x:c>
      <x:c r="P26" s="19" t="n">
        <x:f>H26*L26</x:f>
        <x:v>0.0005035400390625</x:v>
      </x:c>
      <x:c r="Q26" s="19" t="n">
        <x:f>I26*L26</x:f>
        <x:v>0</x:v>
      </x:c>
      <x:c r="R26" s="19" t="n">
        <x:f>J26*L26</x:f>
        <x:v>0</x:v>
      </x:c>
      <x:c r="S26" s="19" t="n">
        <x:f>K26*L26</x:f>
        <x:v>0.0022430419921875</x:v>
      </x:c>
    </x:row>
    <x:row r="27" ht="27" customHeight="1">
      <x:c r="A27" s="12" t="n">
        <x:v>0</x:v>
      </x:c>
      <x:c r="B27" s="12" t="n">
        <x:v>2</x:v>
      </x:c>
      <x:c r="C27" s="12" t="n">
        <x:v>3</x:v>
      </x:c>
      <x:c r="D27" s="12" t="n">
        <x:v>4</x:v>
      </x:c>
      <x:c r="E27" s="12" t="n">
        <x:v>1260</x:v>
      </x:c>
      <x:c r="F27" s="12" t="n">
        <x:v>564</x:v>
      </x:c>
      <x:c r="G27" s="12" t="n">
        <x:v>600</x:v>
      </x:c>
      <x:c r="H27" s="12" t="n">
        <x:v>0</x:v>
      </x:c>
      <x:c r="I27" s="12" t="n">
        <x:v>0</x:v>
      </x:c>
      <x:c r="J27" s="12" t="n">
        <x:v>0</x:v>
      </x:c>
      <x:c r="K27" s="12" t="n">
        <x:v>600</x:v>
      </x:c>
      <x:c r="L27" s="18" t="n">
        <x:f>'参数'!$D$5^A27*'参数'!$D$6^B27*'参数'!$D$7^C27*'参数'!$D$8^D27</x:f>
        <x:v>0.000003814697265625</x:v>
      </x:c>
      <x:c r="M27" s="18" t="n">
        <x:f>E27*L27</x:f>
        <x:v>0.0048065185546875</x:v>
      </x:c>
      <x:c r="N27" s="18" t="n">
        <x:f>F27*L27</x:f>
        <x:v>0.0021514892578125</x:v>
      </x:c>
      <x:c r="O27" s="18" t="n">
        <x:f>G27*L27</x:f>
        <x:v>0.002288818359375</x:v>
      </x:c>
      <x:c r="P27" s="18" t="n">
        <x:f>H27*L27</x:f>
        <x:v>0</x:v>
      </x:c>
      <x:c r="Q27" s="18" t="n">
        <x:f>I27*L27</x:f>
        <x:v>0</x:v>
      </x:c>
      <x:c r="R27" s="18" t="n">
        <x:f>J27*L27</x:f>
        <x:v>0</x:v>
      </x:c>
      <x:c r="S27" s="18" t="n">
        <x:f>K27*L27</x:f>
        <x:v>0.002288818359375</x:v>
      </x:c>
    </x:row>
    <x:row r="28" ht="27" customHeight="1">
      <x:c r="A28" s="13" t="n">
        <x:v>0</x:v>
      </x:c>
      <x:c r="B28" s="13" t="n">
        <x:v>2</x:v>
      </x:c>
      <x:c r="C28" s="13" t="n">
        <x:v>4</x:v>
      </x:c>
      <x:c r="D28" s="13" t="n">
        <x:v>3</x:v>
      </x:c>
      <x:c r="E28" s="13" t="n">
        <x:v>1260</x:v>
      </x:c>
      <x:c r="F28" s="13" t="n">
        <x:v>564</x:v>
      </x:c>
      <x:c r="G28" s="13" t="n">
        <x:v>600</x:v>
      </x:c>
      <x:c r="H28" s="13" t="n">
        <x:v>0</x:v>
      </x:c>
      <x:c r="I28" s="13" t="n">
        <x:v>0</x:v>
      </x:c>
      <x:c r="J28" s="13" t="n">
        <x:v>0</x:v>
      </x:c>
      <x:c r="K28" s="13" t="n">
        <x:v>600</x:v>
      </x:c>
      <x:c r="L28" s="19" t="n">
        <x:f>'参数'!$D$5^A28*'参数'!$D$6^B28*'参数'!$D$7^C28*'参数'!$D$8^D28</x:f>
        <x:v>0.000003814697265625</x:v>
      </x:c>
      <x:c r="M28" s="19" t="n">
        <x:f>E28*L28</x:f>
        <x:v>0.0048065185546875</x:v>
      </x:c>
      <x:c r="N28" s="19" t="n">
        <x:f>F28*L28</x:f>
        <x:v>0.0021514892578125</x:v>
      </x:c>
      <x:c r="O28" s="19" t="n">
        <x:f>G28*L28</x:f>
        <x:v>0.002288818359375</x:v>
      </x:c>
      <x:c r="P28" s="19" t="n">
        <x:f>H28*L28</x:f>
        <x:v>0</x:v>
      </x:c>
      <x:c r="Q28" s="19" t="n">
        <x:f>I28*L28</x:f>
        <x:v>0</x:v>
      </x:c>
      <x:c r="R28" s="19" t="n">
        <x:f>J28*L28</x:f>
        <x:v>0</x:v>
      </x:c>
      <x:c r="S28" s="19" t="n">
        <x:f>K28*L28</x:f>
        <x:v>0.002288818359375</x:v>
      </x:c>
    </x:row>
    <x:row r="29" ht="27" customHeight="1">
      <x:c r="A29" s="12" t="n">
        <x:v>0</x:v>
      </x:c>
      <x:c r="B29" s="12" t="n">
        <x:v>2</x:v>
      </x:c>
      <x:c r="C29" s="12" t="n">
        <x:v>5</x:v>
      </x:c>
      <x:c r="D29" s="12" t="n">
        <x:v>2</x:v>
      </x:c>
      <x:c r="E29" s="12" t="n">
        <x:v>756</x:v>
      </x:c>
      <x:c r="F29" s="12" t="n">
        <x:v>588</x:v>
      </x:c>
      <x:c r="G29" s="12" t="n">
        <x:v>456</x:v>
      </x:c>
      <x:c r="H29" s="12" t="n">
        <x:v>132</x:v>
      </x:c>
      <x:c r="I29" s="12" t="n">
        <x:v>0</x:v>
      </x:c>
      <x:c r="J29" s="12" t="n">
        <x:v>0</x:v>
      </x:c>
      <x:c r="K29" s="12" t="n">
        <x:v>588</x:v>
      </x:c>
      <x:c r="L29" s="18" t="n">
        <x:f>'参数'!$D$5^A29*'参数'!$D$6^B29*'参数'!$D$7^C29*'参数'!$D$8^D29</x:f>
        <x:v>0.000003814697265625</x:v>
      </x:c>
      <x:c r="M29" s="18" t="n">
        <x:f>E29*L29</x:f>
        <x:v>0.0028839111328125</x:v>
      </x:c>
      <x:c r="N29" s="18" t="n">
        <x:f>F29*L29</x:f>
        <x:v>0.0022430419921875</x:v>
      </x:c>
      <x:c r="O29" s="18" t="n">
        <x:f>G29*L29</x:f>
        <x:v>0.001739501953125</x:v>
      </x:c>
      <x:c r="P29" s="18" t="n">
        <x:f>H29*L29</x:f>
        <x:v>0.0005035400390625</x:v>
      </x:c>
      <x:c r="Q29" s="18" t="n">
        <x:f>I29*L29</x:f>
        <x:v>0</x:v>
      </x:c>
      <x:c r="R29" s="18" t="n">
        <x:f>J29*L29</x:f>
        <x:v>0</x:v>
      </x:c>
      <x:c r="S29" s="18" t="n">
        <x:f>K29*L29</x:f>
        <x:v>0.0022430419921875</x:v>
      </x:c>
    </x:row>
    <x:row r="30" ht="27" customHeight="1">
      <x:c r="A30" s="13" t="n">
        <x:v>0</x:v>
      </x:c>
      <x:c r="B30" s="13" t="n">
        <x:v>2</x:v>
      </x:c>
      <x:c r="C30" s="13" t="n">
        <x:v>6</x:v>
      </x:c>
      <x:c r="D30" s="13" t="n">
        <x:v>1</x:v>
      </x:c>
      <x:c r="E30" s="13" t="n">
        <x:v>252</x:v>
      </x:c>
      <x:c r="F30" s="13" t="n">
        <x:v>246</x:v>
      </x:c>
      <x:c r="G30" s="13" t="n">
        <x:v>60</x:v>
      </x:c>
      <x:c r="H30" s="13" t="n">
        <x:v>138</x:v>
      </x:c>
      <x:c r="I30" s="13" t="n">
        <x:v>48</x:v>
      </x:c>
      <x:c r="J30" s="13" t="n">
        <x:v>0</x:v>
      </x:c>
      <x:c r="K30" s="13" t="n">
        <x:v>246</x:v>
      </x:c>
      <x:c r="L30" s="19" t="n">
        <x:f>'参数'!$D$5^A30*'参数'!$D$6^B30*'参数'!$D$7^C30*'参数'!$D$8^D30</x:f>
        <x:v>0.000003814697265625</x:v>
      </x:c>
      <x:c r="M30" s="19" t="n">
        <x:f>E30*L30</x:f>
        <x:v>0.0009613037109375</x:v>
      </x:c>
      <x:c r="N30" s="19" t="n">
        <x:f>F30*L30</x:f>
        <x:v>0.00093841552734375</x:v>
      </x:c>
      <x:c r="O30" s="19" t="n">
        <x:f>G30*L30</x:f>
        <x:v>0.0002288818359375</x:v>
      </x:c>
      <x:c r="P30" s="19" t="n">
        <x:f>H30*L30</x:f>
        <x:v>0.00052642822265625</x:v>
      </x:c>
      <x:c r="Q30" s="19" t="n">
        <x:f>I30*L30</x:f>
        <x:v>0.00018310546875</x:v>
      </x:c>
      <x:c r="R30" s="19" t="n">
        <x:f>J30*L30</x:f>
        <x:v>0</x:v>
      </x:c>
      <x:c r="S30" s="19" t="n">
        <x:f>K30*L30</x:f>
        <x:v>0.00093841552734375</x:v>
      </x:c>
    </x:row>
    <x:row r="31" ht="27" customHeight="1">
      <x:c r="A31" s="12" t="n">
        <x:v>0</x:v>
      </x:c>
      <x:c r="B31" s="12" t="n">
        <x:v>2</x:v>
      </x:c>
      <x:c r="C31" s="12" t="n">
        <x:v>7</x:v>
      </x:c>
      <x:c r="D31" s="12" t="n">
        <x:v>0</x:v>
      </x:c>
      <x:c r="E31" s="12" t="n">
        <x:v>36</x:v>
      </x:c>
      <x:c r="F31" s="12" t="n">
        <x:v>36</x:v>
      </x:c>
      <x:c r="G31" s="12" t="n">
        <x:v>0</x:v>
      </x:c>
      <x:c r="H31" s="12" t="n">
        <x:v>4</x:v>
      </x:c>
      <x:c r="I31" s="12" t="n">
        <x:v>18</x:v>
      </x:c>
      <x:c r="J31" s="12" t="n">
        <x:v>14</x:v>
      </x:c>
      <x:c r="K31" s="12" t="n">
        <x:v>36</x:v>
      </x:c>
      <x:c r="L31" s="18" t="n">
        <x:f>'参数'!$D$5^A31*'参数'!$D$6^B31*'参数'!$D$7^C31*'参数'!$D$8^D31</x:f>
        <x:v>0.000003814697265625</x:v>
      </x:c>
      <x:c r="M31" s="18" t="n">
        <x:f>E31*L31</x:f>
        <x:v>0.0001373291015625</x:v>
      </x:c>
      <x:c r="N31" s="18" t="n">
        <x:f>F31*L31</x:f>
        <x:v>0.0001373291015625</x:v>
      </x:c>
      <x:c r="O31" s="18" t="n">
        <x:f>G31*L31</x:f>
        <x:v>0</x:v>
      </x:c>
      <x:c r="P31" s="18" t="n">
        <x:f>H31*L31</x:f>
        <x:v>0.0000152587890625</x:v>
      </x:c>
      <x:c r="Q31" s="18" t="n">
        <x:f>I31*L31</x:f>
        <x:v>0.00006866455078125</x:v>
      </x:c>
      <x:c r="R31" s="18" t="n">
        <x:f>J31*L31</x:f>
        <x:v>0.00005340576171875</x:v>
      </x:c>
      <x:c r="S31" s="18" t="n">
        <x:f>K31*L31</x:f>
        <x:v>0.0001373291015625</x:v>
      </x:c>
    </x:row>
    <x:row r="32" ht="27" customHeight="1">
      <x:c r="A32" s="13" t="n">
        <x:v>0</x:v>
      </x:c>
      <x:c r="B32" s="13" t="n">
        <x:v>3</x:v>
      </x:c>
      <x:c r="C32" s="13" t="n">
        <x:v>0</x:v>
      </x:c>
      <x:c r="D32" s="13" t="n">
        <x:v>6</x:v>
      </x:c>
      <x:c r="E32" s="13" t="n">
        <x:v>84</x:v>
      </x:c>
      <x:c r="F32" s="13" t="n">
        <x:v>84</x:v>
      </x:c>
      <x:c r="G32" s="13" t="n">
        <x:v>28</x:v>
      </x:c>
      <x:c r="H32" s="13" t="n">
        <x:v>46</x:v>
      </x:c>
      <x:c r="I32" s="13" t="n">
        <x:v>16</x:v>
      </x:c>
      <x:c r="J32" s="13" t="n">
        <x:v>0</x:v>
      </x:c>
      <x:c r="K32" s="13" t="n">
        <x:v>90</x:v>
      </x:c>
      <x:c r="L32" s="19" t="n">
        <x:f>'参数'!$D$5^A32*'参数'!$D$6^B32*'参数'!$D$7^C32*'参数'!$D$8^D32</x:f>
        <x:v>0.000003814697265625</x:v>
      </x:c>
      <x:c r="M32" s="19" t="n">
        <x:f>E32*L32</x:f>
        <x:v>0.0003204345703125</x:v>
      </x:c>
      <x:c r="N32" s="19" t="n">
        <x:f>F32*L32</x:f>
        <x:v>0.0003204345703125</x:v>
      </x:c>
      <x:c r="O32" s="19" t="n">
        <x:f>G32*L32</x:f>
        <x:v>0.0001068115234375</x:v>
      </x:c>
      <x:c r="P32" s="19" t="n">
        <x:f>H32*L32</x:f>
        <x:v>0.00017547607421875</x:v>
      </x:c>
      <x:c r="Q32" s="19" t="n">
        <x:f>I32*L32</x:f>
        <x:v>0.00006103515625</x:v>
      </x:c>
      <x:c r="R32" s="19" t="n">
        <x:f>J32*L32</x:f>
        <x:v>0</x:v>
      </x:c>
      <x:c r="S32" s="19" t="n">
        <x:f>K32*L32</x:f>
        <x:v>0.00034332275390625</x:v>
      </x:c>
    </x:row>
    <x:row r="33" ht="27" customHeight="1">
      <x:c r="A33" s="12" t="n">
        <x:v>0</x:v>
      </x:c>
      <x:c r="B33" s="12" t="n">
        <x:v>3</x:v>
      </x:c>
      <x:c r="C33" s="12" t="n">
        <x:v>1</x:v>
      </x:c>
      <x:c r="D33" s="12" t="n">
        <x:v>5</x:v>
      </x:c>
      <x:c r="E33" s="12" t="n">
        <x:v>504</x:v>
      </x:c>
      <x:c r="F33" s="12" t="n">
        <x:v>404</x:v>
      </x:c>
      <x:c r="G33" s="12" t="n">
        <x:v>352</x:v>
      </x:c>
      <x:c r="H33" s="12" t="n">
        <x:v>88</x:v>
      </x:c>
      <x:c r="I33" s="12" t="n">
        <x:v>0</x:v>
      </x:c>
      <x:c r="J33" s="12" t="n">
        <x:v>0</x:v>
      </x:c>
      <x:c r="K33" s="12" t="n">
        <x:v>440</x:v>
      </x:c>
      <x:c r="L33" s="18" t="n">
        <x:f>'参数'!$D$5^A33*'参数'!$D$6^B33*'参数'!$D$7^C33*'参数'!$D$8^D33</x:f>
        <x:v>0.000003814697265625</x:v>
      </x:c>
      <x:c r="M33" s="18" t="n">
        <x:f>E33*L33</x:f>
        <x:v>0.001922607421875</x:v>
      </x:c>
      <x:c r="N33" s="18" t="n">
        <x:f>F33*L33</x:f>
        <x:v>0.0015411376953125</x:v>
      </x:c>
      <x:c r="O33" s="18" t="n">
        <x:f>G33*L33</x:f>
        <x:v>0.0013427734375</x:v>
      </x:c>
      <x:c r="P33" s="18" t="n">
        <x:f>H33*L33</x:f>
        <x:v>0.000335693359375</x:v>
      </x:c>
      <x:c r="Q33" s="18" t="n">
        <x:f>I33*L33</x:f>
        <x:v>0</x:v>
      </x:c>
      <x:c r="R33" s="18" t="n">
        <x:f>J33*L33</x:f>
        <x:v>0</x:v>
      </x:c>
      <x:c r="S33" s="18" t="n">
        <x:f>K33*L33</x:f>
        <x:v>0.001678466796875</x:v>
      </x:c>
    </x:row>
    <x:row r="34" ht="27" customHeight="1">
      <x:c r="A34" s="13" t="n">
        <x:v>0</x:v>
      </x:c>
      <x:c r="B34" s="13" t="n">
        <x:v>3</x:v>
      </x:c>
      <x:c r="C34" s="13" t="n">
        <x:v>2</x:v>
      </x:c>
      <x:c r="D34" s="13" t="n">
        <x:v>4</x:v>
      </x:c>
      <x:c r="E34" s="13" t="n">
        <x:v>1260</x:v>
      </x:c>
      <x:c r="F34" s="13" t="n">
        <x:v>564</x:v>
      </x:c>
      <x:c r="G34" s="13" t="n">
        <x:v>600</x:v>
      </x:c>
      <x:c r="H34" s="13" t="n">
        <x:v>0</x:v>
      </x:c>
      <x:c r="I34" s="13" t="n">
        <x:v>0</x:v>
      </x:c>
      <x:c r="J34" s="13" t="n">
        <x:v>0</x:v>
      </x:c>
      <x:c r="K34" s="13" t="n">
        <x:v>600</x:v>
      </x:c>
      <x:c r="L34" s="19" t="n">
        <x:f>'参数'!$D$5^A34*'参数'!$D$6^B34*'参数'!$D$7^C34*'参数'!$D$8^D34</x:f>
        <x:v>0.000003814697265625</x:v>
      </x:c>
      <x:c r="M34" s="19" t="n">
        <x:f>E34*L34</x:f>
        <x:v>0.0048065185546875</x:v>
      </x:c>
      <x:c r="N34" s="19" t="n">
        <x:f>F34*L34</x:f>
        <x:v>0.0021514892578125</x:v>
      </x:c>
      <x:c r="O34" s="19" t="n">
        <x:f>G34*L34</x:f>
        <x:v>0.002288818359375</x:v>
      </x:c>
      <x:c r="P34" s="19" t="n">
        <x:f>H34*L34</x:f>
        <x:v>0</x:v>
      </x:c>
      <x:c r="Q34" s="19" t="n">
        <x:f>I34*L34</x:f>
        <x:v>0</x:v>
      </x:c>
      <x:c r="R34" s="19" t="n">
        <x:f>J34*L34</x:f>
        <x:v>0</x:v>
      </x:c>
      <x:c r="S34" s="19" t="n">
        <x:f>K34*L34</x:f>
        <x:v>0.002288818359375</x:v>
      </x:c>
    </x:row>
    <x:row r="35" ht="27" customHeight="1">
      <x:c r="A35" s="12" t="n">
        <x:v>0</x:v>
      </x:c>
      <x:c r="B35" s="12" t="n">
        <x:v>3</x:v>
      </x:c>
      <x:c r="C35" s="12" t="n">
        <x:v>3</x:v>
      </x:c>
      <x:c r="D35" s="12" t="n">
        <x:v>3</x:v>
      </x:c>
      <x:c r="E35" s="12" t="n">
        <x:v>1680</x:v>
      </x:c>
      <x:c r="F35" s="12" t="n">
        <x:v>456</x:v>
      </x:c>
      <x:c r="G35" s="12" t="n">
        <x:v>480</x:v>
      </x:c>
      <x:c r="H35" s="12" t="n">
        <x:v>0</x:v>
      </x:c>
      <x:c r="I35" s="12" t="n">
        <x:v>0</x:v>
      </x:c>
      <x:c r="J35" s="12" t="n">
        <x:v>0</x:v>
      </x:c>
      <x:c r="K35" s="12" t="n">
        <x:v>480</x:v>
      </x:c>
      <x:c r="L35" s="18" t="n">
        <x:f>'参数'!$D$5^A35*'参数'!$D$6^B35*'参数'!$D$7^C35*'参数'!$D$8^D35</x:f>
        <x:v>0.000003814697265625</x:v>
      </x:c>
      <x:c r="M35" s="18" t="n">
        <x:f>E35*L35</x:f>
        <x:v>0.00640869140625</x:v>
      </x:c>
      <x:c r="N35" s="18" t="n">
        <x:f>F35*L35</x:f>
        <x:v>0.001739501953125</x:v>
      </x:c>
      <x:c r="O35" s="18" t="n">
        <x:f>G35*L35</x:f>
        <x:v>0.0018310546875</x:v>
      </x:c>
      <x:c r="P35" s="18" t="n">
        <x:f>H35*L35</x:f>
        <x:v>0</x:v>
      </x:c>
      <x:c r="Q35" s="18" t="n">
        <x:f>I35*L35</x:f>
        <x:v>0</x:v>
      </x:c>
      <x:c r="R35" s="18" t="n">
        <x:f>J35*L35</x:f>
        <x:v>0</x:v>
      </x:c>
      <x:c r="S35" s="18" t="n">
        <x:f>K35*L35</x:f>
        <x:v>0.0018310546875</x:v>
      </x:c>
    </x:row>
    <x:row r="36" ht="27" customHeight="1">
      <x:c r="A36" s="13" t="n">
        <x:v>0</x:v>
      </x:c>
      <x:c r="B36" s="13" t="n">
        <x:v>3</x:v>
      </x:c>
      <x:c r="C36" s="13" t="n">
        <x:v>4</x:v>
      </x:c>
      <x:c r="D36" s="13" t="n">
        <x:v>2</x:v>
      </x:c>
      <x:c r="E36" s="13" t="n">
        <x:v>1260</x:v>
      </x:c>
      <x:c r="F36" s="13" t="n">
        <x:v>564</x:v>
      </x:c>
      <x:c r="G36" s="13" t="n">
        <x:v>600</x:v>
      </x:c>
      <x:c r="H36" s="13" t="n">
        <x:v>0</x:v>
      </x:c>
      <x:c r="I36" s="13" t="n">
        <x:v>0</x:v>
      </x:c>
      <x:c r="J36" s="13" t="n">
        <x:v>0</x:v>
      </x:c>
      <x:c r="K36" s="13" t="n">
        <x:v>600</x:v>
      </x:c>
      <x:c r="L36" s="19" t="n">
        <x:f>'参数'!$D$5^A36*'参数'!$D$6^B36*'参数'!$D$7^C36*'参数'!$D$8^D36</x:f>
        <x:v>0.000003814697265625</x:v>
      </x:c>
      <x:c r="M36" s="19" t="n">
        <x:f>E36*L36</x:f>
        <x:v>0.0048065185546875</x:v>
      </x:c>
      <x:c r="N36" s="19" t="n">
        <x:f>F36*L36</x:f>
        <x:v>0.0021514892578125</x:v>
      </x:c>
      <x:c r="O36" s="19" t="n">
        <x:f>G36*L36</x:f>
        <x:v>0.002288818359375</x:v>
      </x:c>
      <x:c r="P36" s="19" t="n">
        <x:f>H36*L36</x:f>
        <x:v>0</x:v>
      </x:c>
      <x:c r="Q36" s="19" t="n">
        <x:f>I36*L36</x:f>
        <x:v>0</x:v>
      </x:c>
      <x:c r="R36" s="19" t="n">
        <x:f>J36*L36</x:f>
        <x:v>0</x:v>
      </x:c>
      <x:c r="S36" s="19" t="n">
        <x:f>K36*L36</x:f>
        <x:v>0.002288818359375</x:v>
      </x:c>
    </x:row>
    <x:row r="37" ht="27" customHeight="1">
      <x:c r="A37" s="12" t="n">
        <x:v>0</x:v>
      </x:c>
      <x:c r="B37" s="12" t="n">
        <x:v>3</x:v>
      </x:c>
      <x:c r="C37" s="12" t="n">
        <x:v>5</x:v>
      </x:c>
      <x:c r="D37" s="12" t="n">
        <x:v>1</x:v>
      </x:c>
      <x:c r="E37" s="12" t="n">
        <x:v>504</x:v>
      </x:c>
      <x:c r="F37" s="12" t="n">
        <x:v>404</x:v>
      </x:c>
      <x:c r="G37" s="12" t="n">
        <x:v>352</x:v>
      </x:c>
      <x:c r="H37" s="12" t="n">
        <x:v>88</x:v>
      </x:c>
      <x:c r="I37" s="12" t="n">
        <x:v>0</x:v>
      </x:c>
      <x:c r="J37" s="12" t="n">
        <x:v>0</x:v>
      </x:c>
      <x:c r="K37" s="12" t="n">
        <x:v>440</x:v>
      </x:c>
      <x:c r="L37" s="18" t="n">
        <x:f>'参数'!$D$5^A37*'参数'!$D$6^B37*'参数'!$D$7^C37*'参数'!$D$8^D37</x:f>
        <x:v>0.000003814697265625</x:v>
      </x:c>
      <x:c r="M37" s="18" t="n">
        <x:f>E37*L37</x:f>
        <x:v>0.001922607421875</x:v>
      </x:c>
      <x:c r="N37" s="18" t="n">
        <x:f>F37*L37</x:f>
        <x:v>0.0015411376953125</x:v>
      </x:c>
      <x:c r="O37" s="18" t="n">
        <x:f>G37*L37</x:f>
        <x:v>0.0013427734375</x:v>
      </x:c>
      <x:c r="P37" s="18" t="n">
        <x:f>H37*L37</x:f>
        <x:v>0.000335693359375</x:v>
      </x:c>
      <x:c r="Q37" s="18" t="n">
        <x:f>I37*L37</x:f>
        <x:v>0</x:v>
      </x:c>
      <x:c r="R37" s="18" t="n">
        <x:f>J37*L37</x:f>
        <x:v>0</x:v>
      </x:c>
      <x:c r="S37" s="18" t="n">
        <x:f>K37*L37</x:f>
        <x:v>0.001678466796875</x:v>
      </x:c>
    </x:row>
    <x:row r="38" ht="27" customHeight="1">
      <x:c r="A38" s="13" t="n">
        <x:v>0</x:v>
      </x:c>
      <x:c r="B38" s="13" t="n">
        <x:v>3</x:v>
      </x:c>
      <x:c r="C38" s="13" t="n">
        <x:v>6</x:v>
      </x:c>
      <x:c r="D38" s="13" t="n">
        <x:v>0</x:v>
      </x:c>
      <x:c r="E38" s="13" t="n">
        <x:v>84</x:v>
      </x:c>
      <x:c r="F38" s="13" t="n">
        <x:v>84</x:v>
      </x:c>
      <x:c r="G38" s="13" t="n">
        <x:v>28</x:v>
      </x:c>
      <x:c r="H38" s="13" t="n">
        <x:v>46</x:v>
      </x:c>
      <x:c r="I38" s="13" t="n">
        <x:v>16</x:v>
      </x:c>
      <x:c r="J38" s="13" t="n">
        <x:v>0</x:v>
      </x:c>
      <x:c r="K38" s="13" t="n">
        <x:v>90</x:v>
      </x:c>
      <x:c r="L38" s="19" t="n">
        <x:f>'参数'!$D$5^A38*'参数'!$D$6^B38*'参数'!$D$7^C38*'参数'!$D$8^D38</x:f>
        <x:v>0.000003814697265625</x:v>
      </x:c>
      <x:c r="M38" s="19" t="n">
        <x:f>E38*L38</x:f>
        <x:v>0.0003204345703125</x:v>
      </x:c>
      <x:c r="N38" s="19" t="n">
        <x:f>F38*L38</x:f>
        <x:v>0.0003204345703125</x:v>
      </x:c>
      <x:c r="O38" s="19" t="n">
        <x:f>G38*L38</x:f>
        <x:v>0.0001068115234375</x:v>
      </x:c>
      <x:c r="P38" s="19" t="n">
        <x:f>H38*L38</x:f>
        <x:v>0.00017547607421875</x:v>
      </x:c>
      <x:c r="Q38" s="19" t="n">
        <x:f>I38*L38</x:f>
        <x:v>0.00006103515625</x:v>
      </x:c>
      <x:c r="R38" s="19" t="n">
        <x:f>J38*L38</x:f>
        <x:v>0</x:v>
      </x:c>
      <x:c r="S38" s="19" t="n">
        <x:f>K38*L38</x:f>
        <x:v>0.00034332275390625</x:v>
      </x:c>
    </x:row>
    <x:row r="39" ht="27" customHeight="1">
      <x:c r="A39" s="12" t="n">
        <x:v>0</x:v>
      </x:c>
      <x:c r="B39" s="12" t="n">
        <x:v>4</x:v>
      </x:c>
      <x:c r="C39" s="12" t="n">
        <x:v>0</x:v>
      </x:c>
      <x:c r="D39" s="12" t="n">
        <x:v>5</x:v>
      </x:c>
      <x:c r="E39" s="12" t="n">
        <x:v>126</x:v>
      </x:c>
      <x:c r="F39" s="12" t="n">
        <x:v>110</x:v>
      </x:c>
      <x:c r="G39" s="12" t="n">
        <x:v>124</x:v>
      </x:c>
      <x:c r="H39" s="12" t="n">
        <x:v>22</x:v>
      </x:c>
      <x:c r="I39" s="12" t="n">
        <x:v>0</x:v>
      </x:c>
      <x:c r="J39" s="12" t="n">
        <x:v>0</x:v>
      </x:c>
      <x:c r="K39" s="12" t="n">
        <x:v>146</x:v>
      </x:c>
      <x:c r="L39" s="18" t="n">
        <x:f>'参数'!$D$5^A39*'参数'!$D$6^B39*'参数'!$D$7^C39*'参数'!$D$8^D39</x:f>
        <x:v>0.000003814697265625</x:v>
      </x:c>
      <x:c r="M39" s="18" t="n">
        <x:f>E39*L39</x:f>
        <x:v>0.00048065185546875</x:v>
      </x:c>
      <x:c r="N39" s="18" t="n">
        <x:f>F39*L39</x:f>
        <x:v>0.00041961669921875</x:v>
      </x:c>
      <x:c r="O39" s="18" t="n">
        <x:f>G39*L39</x:f>
        <x:v>0.0004730224609375</x:v>
      </x:c>
      <x:c r="P39" s="18" t="n">
        <x:f>H39*L39</x:f>
        <x:v>0.00008392333984375</x:v>
      </x:c>
      <x:c r="Q39" s="18" t="n">
        <x:f>I39*L39</x:f>
        <x:v>0</x:v>
      </x:c>
      <x:c r="R39" s="18" t="n">
        <x:f>J39*L39</x:f>
        <x:v>0</x:v>
      </x:c>
      <x:c r="S39" s="18" t="n">
        <x:f>K39*L39</x:f>
        <x:v>0.00055694580078125</x:v>
      </x:c>
    </x:row>
    <x:row r="40" ht="27" customHeight="1">
      <x:c r="A40" s="13" t="n">
        <x:v>0</x:v>
      </x:c>
      <x:c r="B40" s="13" t="n">
        <x:v>4</x:v>
      </x:c>
      <x:c r="C40" s="13" t="n">
        <x:v>1</x:v>
      </x:c>
      <x:c r="D40" s="13" t="n">
        <x:v>4</x:v>
      </x:c>
      <x:c r="E40" s="13" t="n">
        <x:v>630</x:v>
      </x:c>
      <x:c r="F40" s="13" t="n">
        <x:v>408</x:v>
      </x:c>
      <x:c r="G40" s="13" t="n">
        <x:v>480</x:v>
      </x:c>
      <x:c r="H40" s="13" t="n">
        <x:v>0</x:v>
      </x:c>
      <x:c r="I40" s="13" t="n">
        <x:v>0</x:v>
      </x:c>
      <x:c r="J40" s="13" t="n">
        <x:v>0</x:v>
      </x:c>
      <x:c r="K40" s="13" t="n">
        <x:v>480</x:v>
      </x:c>
      <x:c r="L40" s="19" t="n">
        <x:f>'参数'!$D$5^A40*'参数'!$D$6^B40*'参数'!$D$7^C40*'参数'!$D$8^D40</x:f>
        <x:v>0.000003814697265625</x:v>
      </x:c>
      <x:c r="M40" s="19" t="n">
        <x:f>E40*L40</x:f>
        <x:v>0.00240325927734375</x:v>
      </x:c>
      <x:c r="N40" s="19" t="n">
        <x:f>F40*L40</x:f>
        <x:v>0.001556396484375</x:v>
      </x:c>
      <x:c r="O40" s="19" t="n">
        <x:f>G40*L40</x:f>
        <x:v>0.0018310546875</x:v>
      </x:c>
      <x:c r="P40" s="19" t="n">
        <x:f>H40*L40</x:f>
        <x:v>0</x:v>
      </x:c>
      <x:c r="Q40" s="19" t="n">
        <x:f>I40*L40</x:f>
        <x:v>0</x:v>
      </x:c>
      <x:c r="R40" s="19" t="n">
        <x:f>J40*L40</x:f>
        <x:v>0</x:v>
      </x:c>
      <x:c r="S40" s="19" t="n">
        <x:f>K40*L40</x:f>
        <x:v>0.0018310546875</x:v>
      </x:c>
    </x:row>
    <x:row r="41" ht="27" customHeight="1">
      <x:c r="A41" s="12" t="n">
        <x:v>0</x:v>
      </x:c>
      <x:c r="B41" s="12" t="n">
        <x:v>4</x:v>
      </x:c>
      <x:c r="C41" s="12" t="n">
        <x:v>2</x:v>
      </x:c>
      <x:c r="D41" s="12" t="n">
        <x:v>3</x:v>
      </x:c>
      <x:c r="E41" s="12" t="n">
        <x:v>1260</x:v>
      </x:c>
      <x:c r="F41" s="12" t="n">
        <x:v>564</x:v>
      </x:c>
      <x:c r="G41" s="12" t="n">
        <x:v>600</x:v>
      </x:c>
      <x:c r="H41" s="12" t="n">
        <x:v>0</x:v>
      </x:c>
      <x:c r="I41" s="12" t="n">
        <x:v>0</x:v>
      </x:c>
      <x:c r="J41" s="12" t="n">
        <x:v>0</x:v>
      </x:c>
      <x:c r="K41" s="12" t="n">
        <x:v>600</x:v>
      </x:c>
      <x:c r="L41" s="18" t="n">
        <x:f>'参数'!$D$5^A41*'参数'!$D$6^B41*'参数'!$D$7^C41*'参数'!$D$8^D41</x:f>
        <x:v>0.000003814697265625</x:v>
      </x:c>
      <x:c r="M41" s="18" t="n">
        <x:f>E41*L41</x:f>
        <x:v>0.0048065185546875</x:v>
      </x:c>
      <x:c r="N41" s="18" t="n">
        <x:f>F41*L41</x:f>
        <x:v>0.0021514892578125</x:v>
      </x:c>
      <x:c r="O41" s="18" t="n">
        <x:f>G41*L41</x:f>
        <x:v>0.002288818359375</x:v>
      </x:c>
      <x:c r="P41" s="18" t="n">
        <x:f>H41*L41</x:f>
        <x:v>0</x:v>
      </x:c>
      <x:c r="Q41" s="18" t="n">
        <x:f>I41*L41</x:f>
        <x:v>0</x:v>
      </x:c>
      <x:c r="R41" s="18" t="n">
        <x:f>J41*L41</x:f>
        <x:v>0</x:v>
      </x:c>
      <x:c r="S41" s="18" t="n">
        <x:f>K41*L41</x:f>
        <x:v>0.002288818359375</x:v>
      </x:c>
    </x:row>
    <x:row r="42" ht="27" customHeight="1">
      <x:c r="A42" s="13" t="n">
        <x:v>0</x:v>
      </x:c>
      <x:c r="B42" s="13" t="n">
        <x:v>4</x:v>
      </x:c>
      <x:c r="C42" s="13" t="n">
        <x:v>3</x:v>
      </x:c>
      <x:c r="D42" s="13" t="n">
        <x:v>2</x:v>
      </x:c>
      <x:c r="E42" s="13" t="n">
        <x:v>1260</x:v>
      </x:c>
      <x:c r="F42" s="13" t="n">
        <x:v>564</x:v>
      </x:c>
      <x:c r="G42" s="13" t="n">
        <x:v>600</x:v>
      </x:c>
      <x:c r="H42" s="13" t="n">
        <x:v>0</x:v>
      </x:c>
      <x:c r="I42" s="13" t="n">
        <x:v>0</x:v>
      </x:c>
      <x:c r="J42" s="13" t="n">
        <x:v>0</x:v>
      </x:c>
      <x:c r="K42" s="13" t="n">
        <x:v>600</x:v>
      </x:c>
      <x:c r="L42" s="19" t="n">
        <x:f>'参数'!$D$5^A42*'参数'!$D$6^B42*'参数'!$D$7^C42*'参数'!$D$8^D42</x:f>
        <x:v>0.000003814697265625</x:v>
      </x:c>
      <x:c r="M42" s="19" t="n">
        <x:f>E42*L42</x:f>
        <x:v>0.0048065185546875</x:v>
      </x:c>
      <x:c r="N42" s="19" t="n">
        <x:f>F42*L42</x:f>
        <x:v>0.0021514892578125</x:v>
      </x:c>
      <x:c r="O42" s="19" t="n">
        <x:f>G42*L42</x:f>
        <x:v>0.002288818359375</x:v>
      </x:c>
      <x:c r="P42" s="19" t="n">
        <x:f>H42*L42</x:f>
        <x:v>0</x:v>
      </x:c>
      <x:c r="Q42" s="19" t="n">
        <x:f>I42*L42</x:f>
        <x:v>0</x:v>
      </x:c>
      <x:c r="R42" s="19" t="n">
        <x:f>J42*L42</x:f>
        <x:v>0</x:v>
      </x:c>
      <x:c r="S42" s="19" t="n">
        <x:f>K42*L42</x:f>
        <x:v>0.002288818359375</x:v>
      </x:c>
    </x:row>
    <x:row r="43" ht="27" customHeight="1">
      <x:c r="A43" s="12" t="n">
        <x:v>0</x:v>
      </x:c>
      <x:c r="B43" s="12" t="n">
        <x:v>4</x:v>
      </x:c>
      <x:c r="C43" s="12" t="n">
        <x:v>4</x:v>
      </x:c>
      <x:c r="D43" s="12" t="n">
        <x:v>1</x:v>
      </x:c>
      <x:c r="E43" s="12" t="n">
        <x:v>630</x:v>
      </x:c>
      <x:c r="F43" s="12" t="n">
        <x:v>408</x:v>
      </x:c>
      <x:c r="G43" s="12" t="n">
        <x:v>480</x:v>
      </x:c>
      <x:c r="H43" s="12" t="n">
        <x:v>0</x:v>
      </x:c>
      <x:c r="I43" s="12" t="n">
        <x:v>0</x:v>
      </x:c>
      <x:c r="J43" s="12" t="n">
        <x:v>0</x:v>
      </x:c>
      <x:c r="K43" s="12" t="n">
        <x:v>480</x:v>
      </x:c>
      <x:c r="L43" s="18" t="n">
        <x:f>'参数'!$D$5^A43*'参数'!$D$6^B43*'参数'!$D$7^C43*'参数'!$D$8^D43</x:f>
        <x:v>0.000003814697265625</x:v>
      </x:c>
      <x:c r="M43" s="18" t="n">
        <x:f>E43*L43</x:f>
        <x:v>0.00240325927734375</x:v>
      </x:c>
      <x:c r="N43" s="18" t="n">
        <x:f>F43*L43</x:f>
        <x:v>0.001556396484375</x:v>
      </x:c>
      <x:c r="O43" s="18" t="n">
        <x:f>G43*L43</x:f>
        <x:v>0.0018310546875</x:v>
      </x:c>
      <x:c r="P43" s="18" t="n">
        <x:f>H43*L43</x:f>
        <x:v>0</x:v>
      </x:c>
      <x:c r="Q43" s="18" t="n">
        <x:f>I43*L43</x:f>
        <x:v>0</x:v>
      </x:c>
      <x:c r="R43" s="18" t="n">
        <x:f>J43*L43</x:f>
        <x:v>0</x:v>
      </x:c>
      <x:c r="S43" s="18" t="n">
        <x:f>K43*L43</x:f>
        <x:v>0.0018310546875</x:v>
      </x:c>
    </x:row>
    <x:row r="44" ht="27" customHeight="1">
      <x:c r="A44" s="13" t="n">
        <x:v>0</x:v>
      </x:c>
      <x:c r="B44" s="13" t="n">
        <x:v>4</x:v>
      </x:c>
      <x:c r="C44" s="13" t="n">
        <x:v>5</x:v>
      </x:c>
      <x:c r="D44" s="13" t="n">
        <x:v>0</x:v>
      </x:c>
      <x:c r="E44" s="13" t="n">
        <x:v>126</x:v>
      </x:c>
      <x:c r="F44" s="13" t="n">
        <x:v>110</x:v>
      </x:c>
      <x:c r="G44" s="13" t="n">
        <x:v>124</x:v>
      </x:c>
      <x:c r="H44" s="13" t="n">
        <x:v>22</x:v>
      </x:c>
      <x:c r="I44" s="13" t="n">
        <x:v>0</x:v>
      </x:c>
      <x:c r="J44" s="13" t="n">
        <x:v>0</x:v>
      </x:c>
      <x:c r="K44" s="13" t="n">
        <x:v>146</x:v>
      </x:c>
      <x:c r="L44" s="19" t="n">
        <x:f>'参数'!$D$5^A44*'参数'!$D$6^B44*'参数'!$D$7^C44*'参数'!$D$8^D44</x:f>
        <x:v>0.000003814697265625</x:v>
      </x:c>
      <x:c r="M44" s="19" t="n">
        <x:f>E44*L44</x:f>
        <x:v>0.00048065185546875</x:v>
      </x:c>
      <x:c r="N44" s="19" t="n">
        <x:f>F44*L44</x:f>
        <x:v>0.00041961669921875</x:v>
      </x:c>
      <x:c r="O44" s="19" t="n">
        <x:f>G44*L44</x:f>
        <x:v>0.0004730224609375</x:v>
      </x:c>
      <x:c r="P44" s="19" t="n">
        <x:f>H44*L44</x:f>
        <x:v>0.00008392333984375</x:v>
      </x:c>
      <x:c r="Q44" s="19" t="n">
        <x:f>I44*L44</x:f>
        <x:v>0</x:v>
      </x:c>
      <x:c r="R44" s="19" t="n">
        <x:f>J44*L44</x:f>
        <x:v>0</x:v>
      </x:c>
      <x:c r="S44" s="19" t="n">
        <x:f>K44*L44</x:f>
        <x:v>0.00055694580078125</x:v>
      </x:c>
    </x:row>
    <x:row r="45" ht="27" customHeight="1">
      <x:c r="A45" s="12" t="n">
        <x:v>0</x:v>
      </x:c>
      <x:c r="B45" s="12" t="n">
        <x:v>5</x:v>
      </x:c>
      <x:c r="C45" s="12" t="n">
        <x:v>0</x:v>
      </x:c>
      <x:c r="D45" s="12" t="n">
        <x:v>4</x:v>
      </x:c>
      <x:c r="E45" s="12" t="n">
        <x:v>126</x:v>
      </x:c>
      <x:c r="F45" s="12" t="n">
        <x:v>110</x:v>
      </x:c>
      <x:c r="G45" s="12" t="n">
        <x:v>124</x:v>
      </x:c>
      <x:c r="H45" s="12" t="n">
        <x:v>22</x:v>
      </x:c>
      <x:c r="I45" s="12" t="n">
        <x:v>0</x:v>
      </x:c>
      <x:c r="J45" s="12" t="n">
        <x:v>0</x:v>
      </x:c>
      <x:c r="K45" s="12" t="n">
        <x:v>146</x:v>
      </x:c>
      <x:c r="L45" s="18" t="n">
        <x:f>'参数'!$D$5^A45*'参数'!$D$6^B45*'参数'!$D$7^C45*'参数'!$D$8^D45</x:f>
        <x:v>0.000003814697265625</x:v>
      </x:c>
      <x:c r="M45" s="18" t="n">
        <x:f>E45*L45</x:f>
        <x:v>0.00048065185546875</x:v>
      </x:c>
      <x:c r="N45" s="18" t="n">
        <x:f>F45*L45</x:f>
        <x:v>0.00041961669921875</x:v>
      </x:c>
      <x:c r="O45" s="18" t="n">
        <x:f>G45*L45</x:f>
        <x:v>0.0004730224609375</x:v>
      </x:c>
      <x:c r="P45" s="18" t="n">
        <x:f>H45*L45</x:f>
        <x:v>0.00008392333984375</x:v>
      </x:c>
      <x:c r="Q45" s="18" t="n">
        <x:f>I45*L45</x:f>
        <x:v>0</x:v>
      </x:c>
      <x:c r="R45" s="18" t="n">
        <x:f>J45*L45</x:f>
        <x:v>0</x:v>
      </x:c>
      <x:c r="S45" s="18" t="n">
        <x:f>K45*L45</x:f>
        <x:v>0.00055694580078125</x:v>
      </x:c>
    </x:row>
    <x:row r="46" ht="27" customHeight="1">
      <x:c r="A46" s="13" t="n">
        <x:v>0</x:v>
      </x:c>
      <x:c r="B46" s="13" t="n">
        <x:v>5</x:v>
      </x:c>
      <x:c r="C46" s="13" t="n">
        <x:v>1</x:v>
      </x:c>
      <x:c r="D46" s="13" t="n">
        <x:v>3</x:v>
      </x:c>
      <x:c r="E46" s="13" t="n">
        <x:v>504</x:v>
      </x:c>
      <x:c r="F46" s="13" t="n">
        <x:v>404</x:v>
      </x:c>
      <x:c r="G46" s="13" t="n">
        <x:v>352</x:v>
      </x:c>
      <x:c r="H46" s="13" t="n">
        <x:v>88</x:v>
      </x:c>
      <x:c r="I46" s="13" t="n">
        <x:v>0</x:v>
      </x:c>
      <x:c r="J46" s="13" t="n">
        <x:v>0</x:v>
      </x:c>
      <x:c r="K46" s="13" t="n">
        <x:v>440</x:v>
      </x:c>
      <x:c r="L46" s="19" t="n">
        <x:f>'参数'!$D$5^A46*'参数'!$D$6^B46*'参数'!$D$7^C46*'参数'!$D$8^D46</x:f>
        <x:v>0.000003814697265625</x:v>
      </x:c>
      <x:c r="M46" s="19" t="n">
        <x:f>E46*L46</x:f>
        <x:v>0.001922607421875</x:v>
      </x:c>
      <x:c r="N46" s="19" t="n">
        <x:f>F46*L46</x:f>
        <x:v>0.0015411376953125</x:v>
      </x:c>
      <x:c r="O46" s="19" t="n">
        <x:f>G46*L46</x:f>
        <x:v>0.0013427734375</x:v>
      </x:c>
      <x:c r="P46" s="19" t="n">
        <x:f>H46*L46</x:f>
        <x:v>0.000335693359375</x:v>
      </x:c>
      <x:c r="Q46" s="19" t="n">
        <x:f>I46*L46</x:f>
        <x:v>0</x:v>
      </x:c>
      <x:c r="R46" s="19" t="n">
        <x:f>J46*L46</x:f>
        <x:v>0</x:v>
      </x:c>
      <x:c r="S46" s="19" t="n">
        <x:f>K46*L46</x:f>
        <x:v>0.001678466796875</x:v>
      </x:c>
    </x:row>
    <x:row r="47" ht="27" customHeight="1">
      <x:c r="A47" s="12" t="n">
        <x:v>0</x:v>
      </x:c>
      <x:c r="B47" s="12" t="n">
        <x:v>5</x:v>
      </x:c>
      <x:c r="C47" s="12" t="n">
        <x:v>2</x:v>
      </x:c>
      <x:c r="D47" s="12" t="n">
        <x:v>2</x:v>
      </x:c>
      <x:c r="E47" s="12" t="n">
        <x:v>756</x:v>
      </x:c>
      <x:c r="F47" s="12" t="n">
        <x:v>588</x:v>
      </x:c>
      <x:c r="G47" s="12" t="n">
        <x:v>456</x:v>
      </x:c>
      <x:c r="H47" s="12" t="n">
        <x:v>132</x:v>
      </x:c>
      <x:c r="I47" s="12" t="n">
        <x:v>0</x:v>
      </x:c>
      <x:c r="J47" s="12" t="n">
        <x:v>0</x:v>
      </x:c>
      <x:c r="K47" s="12" t="n">
        <x:v>588</x:v>
      </x:c>
      <x:c r="L47" s="18" t="n">
        <x:f>'参数'!$D$5^A47*'参数'!$D$6^B47*'参数'!$D$7^C47*'参数'!$D$8^D47</x:f>
        <x:v>0.000003814697265625</x:v>
      </x:c>
      <x:c r="M47" s="18" t="n">
        <x:f>E47*L47</x:f>
        <x:v>0.0028839111328125</x:v>
      </x:c>
      <x:c r="N47" s="18" t="n">
        <x:f>F47*L47</x:f>
        <x:v>0.0022430419921875</x:v>
      </x:c>
      <x:c r="O47" s="18" t="n">
        <x:f>G47*L47</x:f>
        <x:v>0.001739501953125</x:v>
      </x:c>
      <x:c r="P47" s="18" t="n">
        <x:f>H47*L47</x:f>
        <x:v>0.0005035400390625</x:v>
      </x:c>
      <x:c r="Q47" s="18" t="n">
        <x:f>I47*L47</x:f>
        <x:v>0</x:v>
      </x:c>
      <x:c r="R47" s="18" t="n">
        <x:f>J47*L47</x:f>
        <x:v>0</x:v>
      </x:c>
      <x:c r="S47" s="18" t="n">
        <x:f>K47*L47</x:f>
        <x:v>0.0022430419921875</x:v>
      </x:c>
    </x:row>
    <x:row r="48" ht="27" customHeight="1">
      <x:c r="A48" s="13" t="n">
        <x:v>0</x:v>
      </x:c>
      <x:c r="B48" s="13" t="n">
        <x:v>5</x:v>
      </x:c>
      <x:c r="C48" s="13" t="n">
        <x:v>3</x:v>
      </x:c>
      <x:c r="D48" s="13" t="n">
        <x:v>1</x:v>
      </x:c>
      <x:c r="E48" s="13" t="n">
        <x:v>504</x:v>
      </x:c>
      <x:c r="F48" s="13" t="n">
        <x:v>404</x:v>
      </x:c>
      <x:c r="G48" s="13" t="n">
        <x:v>352</x:v>
      </x:c>
      <x:c r="H48" s="13" t="n">
        <x:v>88</x:v>
      </x:c>
      <x:c r="I48" s="13" t="n">
        <x:v>0</x:v>
      </x:c>
      <x:c r="J48" s="13" t="n">
        <x:v>0</x:v>
      </x:c>
      <x:c r="K48" s="13" t="n">
        <x:v>440</x:v>
      </x:c>
      <x:c r="L48" s="19" t="n">
        <x:f>'参数'!$D$5^A48*'参数'!$D$6^B48*'参数'!$D$7^C48*'参数'!$D$8^D48</x:f>
        <x:v>0.000003814697265625</x:v>
      </x:c>
      <x:c r="M48" s="19" t="n">
        <x:f>E48*L48</x:f>
        <x:v>0.001922607421875</x:v>
      </x:c>
      <x:c r="N48" s="19" t="n">
        <x:f>F48*L48</x:f>
        <x:v>0.0015411376953125</x:v>
      </x:c>
      <x:c r="O48" s="19" t="n">
        <x:f>G48*L48</x:f>
        <x:v>0.0013427734375</x:v>
      </x:c>
      <x:c r="P48" s="19" t="n">
        <x:f>H48*L48</x:f>
        <x:v>0.000335693359375</x:v>
      </x:c>
      <x:c r="Q48" s="19" t="n">
        <x:f>I48*L48</x:f>
        <x:v>0</x:v>
      </x:c>
      <x:c r="R48" s="19" t="n">
        <x:f>J48*L48</x:f>
        <x:v>0</x:v>
      </x:c>
      <x:c r="S48" s="19" t="n">
        <x:f>K48*L48</x:f>
        <x:v>0.001678466796875</x:v>
      </x:c>
    </x:row>
    <x:row r="49" ht="27" customHeight="1">
      <x:c r="A49" s="12" t="n">
        <x:v>0</x:v>
      </x:c>
      <x:c r="B49" s="12" t="n">
        <x:v>5</x:v>
      </x:c>
      <x:c r="C49" s="12" t="n">
        <x:v>4</x:v>
      </x:c>
      <x:c r="D49" s="12" t="n">
        <x:v>0</x:v>
      </x:c>
      <x:c r="E49" s="12" t="n">
        <x:v>126</x:v>
      </x:c>
      <x:c r="F49" s="12" t="n">
        <x:v>110</x:v>
      </x:c>
      <x:c r="G49" s="12" t="n">
        <x:v>124</x:v>
      </x:c>
      <x:c r="H49" s="12" t="n">
        <x:v>22</x:v>
      </x:c>
      <x:c r="I49" s="12" t="n">
        <x:v>0</x:v>
      </x:c>
      <x:c r="J49" s="12" t="n">
        <x:v>0</x:v>
      </x:c>
      <x:c r="K49" s="12" t="n">
        <x:v>146</x:v>
      </x:c>
      <x:c r="L49" s="18" t="n">
        <x:f>'参数'!$D$5^A49*'参数'!$D$6^B49*'参数'!$D$7^C49*'参数'!$D$8^D49</x:f>
        <x:v>0.000003814697265625</x:v>
      </x:c>
      <x:c r="M49" s="18" t="n">
        <x:f>E49*L49</x:f>
        <x:v>0.00048065185546875</x:v>
      </x:c>
      <x:c r="N49" s="18" t="n">
        <x:f>F49*L49</x:f>
        <x:v>0.00041961669921875</x:v>
      </x:c>
      <x:c r="O49" s="18" t="n">
        <x:f>G49*L49</x:f>
        <x:v>0.0004730224609375</x:v>
      </x:c>
      <x:c r="P49" s="18" t="n">
        <x:f>H49*L49</x:f>
        <x:v>0.00008392333984375</x:v>
      </x:c>
      <x:c r="Q49" s="18" t="n">
        <x:f>I49*L49</x:f>
        <x:v>0</x:v>
      </x:c>
      <x:c r="R49" s="18" t="n">
        <x:f>J49*L49</x:f>
        <x:v>0</x:v>
      </x:c>
      <x:c r="S49" s="18" t="n">
        <x:f>K49*L49</x:f>
        <x:v>0.00055694580078125</x:v>
      </x:c>
    </x:row>
    <x:row r="50" ht="27" customHeight="1">
      <x:c r="A50" s="13" t="n">
        <x:v>0</x:v>
      </x:c>
      <x:c r="B50" s="13" t="n">
        <x:v>6</x:v>
      </x:c>
      <x:c r="C50" s="13" t="n">
        <x:v>0</x:v>
      </x:c>
      <x:c r="D50" s="13" t="n">
        <x:v>3</x:v>
      </x:c>
      <x:c r="E50" s="13" t="n">
        <x:v>84</x:v>
      </x:c>
      <x:c r="F50" s="13" t="n">
        <x:v>84</x:v>
      </x:c>
      <x:c r="G50" s="13" t="n">
        <x:v>28</x:v>
      </x:c>
      <x:c r="H50" s="13" t="n">
        <x:v>46</x:v>
      </x:c>
      <x:c r="I50" s="13" t="n">
        <x:v>16</x:v>
      </x:c>
      <x:c r="J50" s="13" t="n">
        <x:v>0</x:v>
      </x:c>
      <x:c r="K50" s="13" t="n">
        <x:v>90</x:v>
      </x:c>
      <x:c r="L50" s="19" t="n">
        <x:f>'参数'!$D$5^A50*'参数'!$D$6^B50*'参数'!$D$7^C50*'参数'!$D$8^D50</x:f>
        <x:v>0.000003814697265625</x:v>
      </x:c>
      <x:c r="M50" s="19" t="n">
        <x:f>E50*L50</x:f>
        <x:v>0.0003204345703125</x:v>
      </x:c>
      <x:c r="N50" s="19" t="n">
        <x:f>F50*L50</x:f>
        <x:v>0.0003204345703125</x:v>
      </x:c>
      <x:c r="O50" s="19" t="n">
        <x:f>G50*L50</x:f>
        <x:v>0.0001068115234375</x:v>
      </x:c>
      <x:c r="P50" s="19" t="n">
        <x:f>H50*L50</x:f>
        <x:v>0.00017547607421875</x:v>
      </x:c>
      <x:c r="Q50" s="19" t="n">
        <x:f>I50*L50</x:f>
        <x:v>0.00006103515625</x:v>
      </x:c>
      <x:c r="R50" s="19" t="n">
        <x:f>J50*L50</x:f>
        <x:v>0</x:v>
      </x:c>
      <x:c r="S50" s="19" t="n">
        <x:f>K50*L50</x:f>
        <x:v>0.00034332275390625</x:v>
      </x:c>
    </x:row>
    <x:row r="51" ht="27" customHeight="1">
      <x:c r="A51" s="12" t="n">
        <x:v>0</x:v>
      </x:c>
      <x:c r="B51" s="12" t="n">
        <x:v>6</x:v>
      </x:c>
      <x:c r="C51" s="12" t="n">
        <x:v>1</x:v>
      </x:c>
      <x:c r="D51" s="12" t="n">
        <x:v>2</x:v>
      </x:c>
      <x:c r="E51" s="12" t="n">
        <x:v>252</x:v>
      </x:c>
      <x:c r="F51" s="12" t="n">
        <x:v>246</x:v>
      </x:c>
      <x:c r="G51" s="12" t="n">
        <x:v>60</x:v>
      </x:c>
      <x:c r="H51" s="12" t="n">
        <x:v>138</x:v>
      </x:c>
      <x:c r="I51" s="12" t="n">
        <x:v>48</x:v>
      </x:c>
      <x:c r="J51" s="12" t="n">
        <x:v>0</x:v>
      </x:c>
      <x:c r="K51" s="12" t="n">
        <x:v>246</x:v>
      </x:c>
      <x:c r="L51" s="18" t="n">
        <x:f>'参数'!$D$5^A51*'参数'!$D$6^B51*'参数'!$D$7^C51*'参数'!$D$8^D51</x:f>
        <x:v>0.000003814697265625</x:v>
      </x:c>
      <x:c r="M51" s="18" t="n">
        <x:f>E51*L51</x:f>
        <x:v>0.0009613037109375</x:v>
      </x:c>
      <x:c r="N51" s="18" t="n">
        <x:f>F51*L51</x:f>
        <x:v>0.00093841552734375</x:v>
      </x:c>
      <x:c r="O51" s="18" t="n">
        <x:f>G51*L51</x:f>
        <x:v>0.0002288818359375</x:v>
      </x:c>
      <x:c r="P51" s="18" t="n">
        <x:f>H51*L51</x:f>
        <x:v>0.00052642822265625</x:v>
      </x:c>
      <x:c r="Q51" s="18" t="n">
        <x:f>I51*L51</x:f>
        <x:v>0.00018310546875</x:v>
      </x:c>
      <x:c r="R51" s="18" t="n">
        <x:f>J51*L51</x:f>
        <x:v>0</x:v>
      </x:c>
      <x:c r="S51" s="18" t="n">
        <x:f>K51*L51</x:f>
        <x:v>0.00093841552734375</x:v>
      </x:c>
    </x:row>
    <x:row r="52" ht="27" customHeight="1">
      <x:c r="A52" s="13" t="n">
        <x:v>0</x:v>
      </x:c>
      <x:c r="B52" s="13" t="n">
        <x:v>6</x:v>
      </x:c>
      <x:c r="C52" s="13" t="n">
        <x:v>2</x:v>
      </x:c>
      <x:c r="D52" s="13" t="n">
        <x:v>1</x:v>
      </x:c>
      <x:c r="E52" s="13" t="n">
        <x:v>252</x:v>
      </x:c>
      <x:c r="F52" s="13" t="n">
        <x:v>246</x:v>
      </x:c>
      <x:c r="G52" s="13" t="n">
        <x:v>60</x:v>
      </x:c>
      <x:c r="H52" s="13" t="n">
        <x:v>138</x:v>
      </x:c>
      <x:c r="I52" s="13" t="n">
        <x:v>48</x:v>
      </x:c>
      <x:c r="J52" s="13" t="n">
        <x:v>0</x:v>
      </x:c>
      <x:c r="K52" s="13" t="n">
        <x:v>246</x:v>
      </x:c>
      <x:c r="L52" s="19" t="n">
        <x:f>'参数'!$D$5^A52*'参数'!$D$6^B52*'参数'!$D$7^C52*'参数'!$D$8^D52</x:f>
        <x:v>0.000003814697265625</x:v>
      </x:c>
      <x:c r="M52" s="19" t="n">
        <x:f>E52*L52</x:f>
        <x:v>0.0009613037109375</x:v>
      </x:c>
      <x:c r="N52" s="19" t="n">
        <x:f>F52*L52</x:f>
        <x:v>0.00093841552734375</x:v>
      </x:c>
      <x:c r="O52" s="19" t="n">
        <x:f>G52*L52</x:f>
        <x:v>0.0002288818359375</x:v>
      </x:c>
      <x:c r="P52" s="19" t="n">
        <x:f>H52*L52</x:f>
        <x:v>0.00052642822265625</x:v>
      </x:c>
      <x:c r="Q52" s="19" t="n">
        <x:f>I52*L52</x:f>
        <x:v>0.00018310546875</x:v>
      </x:c>
      <x:c r="R52" s="19" t="n">
        <x:f>J52*L52</x:f>
        <x:v>0</x:v>
      </x:c>
      <x:c r="S52" s="19" t="n">
        <x:f>K52*L52</x:f>
        <x:v>0.00093841552734375</x:v>
      </x:c>
    </x:row>
    <x:row r="53" ht="27" customHeight="1">
      <x:c r="A53" s="12" t="n">
        <x:v>0</x:v>
      </x:c>
      <x:c r="B53" s="12" t="n">
        <x:v>6</x:v>
      </x:c>
      <x:c r="C53" s="12" t="n">
        <x:v>3</x:v>
      </x:c>
      <x:c r="D53" s="12" t="n">
        <x:v>0</x:v>
      </x:c>
      <x:c r="E53" s="12" t="n">
        <x:v>84</x:v>
      </x:c>
      <x:c r="F53" s="12" t="n">
        <x:v>84</x:v>
      </x:c>
      <x:c r="G53" s="12" t="n">
        <x:v>28</x:v>
      </x:c>
      <x:c r="H53" s="12" t="n">
        <x:v>46</x:v>
      </x:c>
      <x:c r="I53" s="12" t="n">
        <x:v>16</x:v>
      </x:c>
      <x:c r="J53" s="12" t="n">
        <x:v>0</x:v>
      </x:c>
      <x:c r="K53" s="12" t="n">
        <x:v>90</x:v>
      </x:c>
      <x:c r="L53" s="18" t="n">
        <x:f>'参数'!$D$5^A53*'参数'!$D$6^B53*'参数'!$D$7^C53*'参数'!$D$8^D53</x:f>
        <x:v>0.000003814697265625</x:v>
      </x:c>
      <x:c r="M53" s="18" t="n">
        <x:f>E53*L53</x:f>
        <x:v>0.0003204345703125</x:v>
      </x:c>
      <x:c r="N53" s="18" t="n">
        <x:f>F53*L53</x:f>
        <x:v>0.0003204345703125</x:v>
      </x:c>
      <x:c r="O53" s="18" t="n">
        <x:f>G53*L53</x:f>
        <x:v>0.0001068115234375</x:v>
      </x:c>
      <x:c r="P53" s="18" t="n">
        <x:f>H53*L53</x:f>
        <x:v>0.00017547607421875</x:v>
      </x:c>
      <x:c r="Q53" s="18" t="n">
        <x:f>I53*L53</x:f>
        <x:v>0.00006103515625</x:v>
      </x:c>
      <x:c r="R53" s="18" t="n">
        <x:f>J53*L53</x:f>
        <x:v>0</x:v>
      </x:c>
      <x:c r="S53" s="18" t="n">
        <x:f>K53*L53</x:f>
        <x:v>0.00034332275390625</x:v>
      </x:c>
    </x:row>
    <x:row r="54" ht="27" customHeight="1">
      <x:c r="A54" s="13" t="n">
        <x:v>0</x:v>
      </x:c>
      <x:c r="B54" s="13" t="n">
        <x:v>7</x:v>
      </x:c>
      <x:c r="C54" s="13" t="n">
        <x:v>0</x:v>
      </x:c>
      <x:c r="D54" s="13" t="n">
        <x:v>2</x:v>
      </x:c>
      <x:c r="E54" s="13" t="n">
        <x:v>36</x:v>
      </x:c>
      <x:c r="F54" s="13" t="n">
        <x:v>36</x:v>
      </x:c>
      <x:c r="G54" s="13" t="n">
        <x:v>0</x:v>
      </x:c>
      <x:c r="H54" s="13" t="n">
        <x:v>4</x:v>
      </x:c>
      <x:c r="I54" s="13" t="n">
        <x:v>18</x:v>
      </x:c>
      <x:c r="J54" s="13" t="n">
        <x:v>14</x:v>
      </x:c>
      <x:c r="K54" s="13" t="n">
        <x:v>36</x:v>
      </x:c>
      <x:c r="L54" s="19" t="n">
        <x:f>'参数'!$D$5^A54*'参数'!$D$6^B54*'参数'!$D$7^C54*'参数'!$D$8^D54</x:f>
        <x:v>0.000003814697265625</x:v>
      </x:c>
      <x:c r="M54" s="19" t="n">
        <x:f>E54*L54</x:f>
        <x:v>0.0001373291015625</x:v>
      </x:c>
      <x:c r="N54" s="19" t="n">
        <x:f>F54*L54</x:f>
        <x:v>0.0001373291015625</x:v>
      </x:c>
      <x:c r="O54" s="19" t="n">
        <x:f>G54*L54</x:f>
        <x:v>0</x:v>
      </x:c>
      <x:c r="P54" s="19" t="n">
        <x:f>H54*L54</x:f>
        <x:v>0.0000152587890625</x:v>
      </x:c>
      <x:c r="Q54" s="19" t="n">
        <x:f>I54*L54</x:f>
        <x:v>0.00006866455078125</x:v>
      </x:c>
      <x:c r="R54" s="19" t="n">
        <x:f>J54*L54</x:f>
        <x:v>0.00005340576171875</x:v>
      </x:c>
      <x:c r="S54" s="19" t="n">
        <x:f>K54*L54</x:f>
        <x:v>0.0001373291015625</x:v>
      </x:c>
    </x:row>
    <x:row r="55" ht="27" customHeight="1">
      <x:c r="A55" s="12" t="n">
        <x:v>0</x:v>
      </x:c>
      <x:c r="B55" s="12" t="n">
        <x:v>7</x:v>
      </x:c>
      <x:c r="C55" s="12" t="n">
        <x:v>1</x:v>
      </x:c>
      <x:c r="D55" s="12" t="n">
        <x:v>1</x:v>
      </x:c>
      <x:c r="E55" s="12" t="n">
        <x:v>72</x:v>
      </x:c>
      <x:c r="F55" s="12" t="n">
        <x:v>72</x:v>
      </x:c>
      <x:c r="G55" s="12" t="n">
        <x:v>0</x:v>
      </x:c>
      <x:c r="H55" s="12" t="n">
        <x:v>8</x:v>
      </x:c>
      <x:c r="I55" s="12" t="n">
        <x:v>36</x:v>
      </x:c>
      <x:c r="J55" s="12" t="n">
        <x:v>28</x:v>
      </x:c>
      <x:c r="K55" s="12" t="n">
        <x:v>72</x:v>
      </x:c>
      <x:c r="L55" s="18" t="n">
        <x:f>'参数'!$D$5^A55*'参数'!$D$6^B55*'参数'!$D$7^C55*'参数'!$D$8^D55</x:f>
        <x:v>0.000003814697265625</x:v>
      </x:c>
      <x:c r="M55" s="18" t="n">
        <x:f>E55*L55</x:f>
        <x:v>0.000274658203125</x:v>
      </x:c>
      <x:c r="N55" s="18" t="n">
        <x:f>F55*L55</x:f>
        <x:v>0.000274658203125</x:v>
      </x:c>
      <x:c r="O55" s="18" t="n">
        <x:f>G55*L55</x:f>
        <x:v>0</x:v>
      </x:c>
      <x:c r="P55" s="18" t="n">
        <x:f>H55*L55</x:f>
        <x:v>0.000030517578125</x:v>
      </x:c>
      <x:c r="Q55" s="18" t="n">
        <x:f>I55*L55</x:f>
        <x:v>0.0001373291015625</x:v>
      </x:c>
      <x:c r="R55" s="18" t="n">
        <x:f>J55*L55</x:f>
        <x:v>0.0001068115234375</x:v>
      </x:c>
      <x:c r="S55" s="18" t="n">
        <x:f>K55*L55</x:f>
        <x:v>0.000274658203125</x:v>
      </x:c>
    </x:row>
    <x:row r="56" ht="27" customHeight="1">
      <x:c r="A56" s="13" t="n">
        <x:v>0</x:v>
      </x:c>
      <x:c r="B56" s="13" t="n">
        <x:v>7</x:v>
      </x:c>
      <x:c r="C56" s="13" t="n">
        <x:v>2</x:v>
      </x:c>
      <x:c r="D56" s="13" t="n">
        <x:v>0</x:v>
      </x:c>
      <x:c r="E56" s="13" t="n">
        <x:v>36</x:v>
      </x:c>
      <x:c r="F56" s="13" t="n">
        <x:v>36</x:v>
      </x:c>
      <x:c r="G56" s="13" t="n">
        <x:v>0</x:v>
      </x:c>
      <x:c r="H56" s="13" t="n">
        <x:v>4</x:v>
      </x:c>
      <x:c r="I56" s="13" t="n">
        <x:v>18</x:v>
      </x:c>
      <x:c r="J56" s="13" t="n">
        <x:v>14</x:v>
      </x:c>
      <x:c r="K56" s="13" t="n">
        <x:v>36</x:v>
      </x:c>
      <x:c r="L56" s="19" t="n">
        <x:f>'参数'!$D$5^A56*'参数'!$D$6^B56*'参数'!$D$7^C56*'参数'!$D$8^D56</x:f>
        <x:v>0.000003814697265625</x:v>
      </x:c>
      <x:c r="M56" s="19" t="n">
        <x:f>E56*L56</x:f>
        <x:v>0.0001373291015625</x:v>
      </x:c>
      <x:c r="N56" s="19" t="n">
        <x:f>F56*L56</x:f>
        <x:v>0.0001373291015625</x:v>
      </x:c>
      <x:c r="O56" s="19" t="n">
        <x:f>G56*L56</x:f>
        <x:v>0</x:v>
      </x:c>
      <x:c r="P56" s="19" t="n">
        <x:f>H56*L56</x:f>
        <x:v>0.0000152587890625</x:v>
      </x:c>
      <x:c r="Q56" s="19" t="n">
        <x:f>I56*L56</x:f>
        <x:v>0.00006866455078125</x:v>
      </x:c>
      <x:c r="R56" s="19" t="n">
        <x:f>J56*L56</x:f>
        <x:v>0.00005340576171875</x:v>
      </x:c>
      <x:c r="S56" s="19" t="n">
        <x:f>K56*L56</x:f>
        <x:v>0.0001373291015625</x:v>
      </x:c>
    </x:row>
    <x:row r="57" ht="27" customHeight="1">
      <x:c r="A57" s="12" t="n">
        <x:v>0</x:v>
      </x:c>
      <x:c r="B57" s="12" t="n">
        <x:v>8</x:v>
      </x:c>
      <x:c r="C57" s="12" t="n">
        <x:v>0</x:v>
      </x:c>
      <x:c r="D57" s="12" t="n">
        <x:v>1</x:v>
      </x:c>
      <x:c r="E57" s="12" t="n">
        <x:v>9</x:v>
      </x:c>
      <x:c r="F57" s="12" t="n">
        <x:v>9</x:v>
      </x:c>
      <x:c r="G57" s="12" t="n">
        <x:v>0</x:v>
      </x:c>
      <x:c r="H57" s="12" t="n">
        <x:v>0</x:v>
      </x:c>
      <x:c r="I57" s="12" t="n">
        <x:v>0</x:v>
      </x:c>
      <x:c r="J57" s="12" t="n">
        <x:v>9</x:v>
      </x:c>
      <x:c r="K57" s="12" t="n">
        <x:v>9</x:v>
      </x:c>
      <x:c r="L57" s="18" t="n">
        <x:f>'参数'!$D$5^A57*'参数'!$D$6^B57*'参数'!$D$7^C57*'参数'!$D$8^D57</x:f>
        <x:v>0.000003814697265625</x:v>
      </x:c>
      <x:c r="M57" s="18" t="n">
        <x:f>E57*L57</x:f>
        <x:v>0.000034332275390625</x:v>
      </x:c>
      <x:c r="N57" s="18" t="n">
        <x:f>F57*L57</x:f>
        <x:v>0.000034332275390625</x:v>
      </x:c>
      <x:c r="O57" s="18" t="n">
        <x:f>G57*L57</x:f>
        <x:v>0</x:v>
      </x:c>
      <x:c r="P57" s="18" t="n">
        <x:f>H57*L57</x:f>
        <x:v>0</x:v>
      </x:c>
      <x:c r="Q57" s="18" t="n">
        <x:f>I57*L57</x:f>
        <x:v>0</x:v>
      </x:c>
      <x:c r="R57" s="18" t="n">
        <x:f>J57*L57</x:f>
        <x:v>0.000034332275390625</x:v>
      </x:c>
      <x:c r="S57" s="18" t="n">
        <x:f>K57*L57</x:f>
        <x:v>0.000034332275390625</x:v>
      </x:c>
    </x:row>
    <x:row r="58" ht="27" customHeight="1">
      <x:c r="A58" s="13" t="n">
        <x:v>0</x:v>
      </x:c>
      <x:c r="B58" s="13" t="n">
        <x:v>8</x:v>
      </x:c>
      <x:c r="C58" s="13" t="n">
        <x:v>1</x:v>
      </x:c>
      <x:c r="D58" s="13" t="n">
        <x:v>0</x:v>
      </x:c>
      <x:c r="E58" s="13" t="n">
        <x:v>9</x:v>
      </x:c>
      <x:c r="F58" s="13" t="n">
        <x:v>9</x:v>
      </x:c>
      <x:c r="G58" s="13" t="n">
        <x:v>0</x:v>
      </x:c>
      <x:c r="H58" s="13" t="n">
        <x:v>0</x:v>
      </x:c>
      <x:c r="I58" s="13" t="n">
        <x:v>0</x:v>
      </x:c>
      <x:c r="J58" s="13" t="n">
        <x:v>9</x:v>
      </x:c>
      <x:c r="K58" s="13" t="n">
        <x:v>9</x:v>
      </x:c>
      <x:c r="L58" s="19" t="n">
        <x:f>'参数'!$D$5^A58*'参数'!$D$6^B58*'参数'!$D$7^C58*'参数'!$D$8^D58</x:f>
        <x:v>0.000003814697265625</x:v>
      </x:c>
      <x:c r="M58" s="19" t="n">
        <x:f>E58*L58</x:f>
        <x:v>0.000034332275390625</x:v>
      </x:c>
      <x:c r="N58" s="19" t="n">
        <x:f>F58*L58</x:f>
        <x:v>0.000034332275390625</x:v>
      </x:c>
      <x:c r="O58" s="19" t="n">
        <x:f>G58*L58</x:f>
        <x:v>0</x:v>
      </x:c>
      <x:c r="P58" s="19" t="n">
        <x:f>H58*L58</x:f>
        <x:v>0</x:v>
      </x:c>
      <x:c r="Q58" s="19" t="n">
        <x:f>I58*L58</x:f>
        <x:v>0</x:v>
      </x:c>
      <x:c r="R58" s="19" t="n">
        <x:f>J58*L58</x:f>
        <x:v>0.000034332275390625</x:v>
      </x:c>
      <x:c r="S58" s="19" t="n">
        <x:f>K58*L58</x:f>
        <x:v>0.000034332275390625</x:v>
      </x:c>
    </x:row>
    <x:row r="59" ht="27" customHeight="1">
      <x:c r="A59" s="12" t="n">
        <x:v>0</x:v>
      </x:c>
      <x:c r="B59" s="12" t="n">
        <x:v>9</x:v>
      </x:c>
      <x:c r="C59" s="12" t="n">
        <x:v>0</x:v>
      </x:c>
      <x:c r="D59" s="12" t="n">
        <x:v>0</x:v>
      </x:c>
      <x:c r="E59" s="12" t="n">
        <x:v>1</x:v>
      </x:c>
      <x:c r="F59" s="12" t="n">
        <x:v>1</x:v>
      </x:c>
      <x:c r="G59" s="12" t="n">
        <x:v>0</x:v>
      </x:c>
      <x:c r="H59" s="12" t="n">
        <x:v>0</x:v>
      </x:c>
      <x:c r="I59" s="12" t="n">
        <x:v>0</x:v>
      </x:c>
      <x:c r="J59" s="12" t="n">
        <x:v>1</x:v>
      </x:c>
      <x:c r="K59" s="12" t="n">
        <x:v>1</x:v>
      </x:c>
      <x:c r="L59" s="18" t="n">
        <x:f>'参数'!$D$5^A59*'参数'!$D$6^B59*'参数'!$D$7^C59*'参数'!$D$8^D59</x:f>
        <x:v>0.000003814697265625</x:v>
      </x:c>
      <x:c r="M59" s="18" t="n">
        <x:f>E59*L59</x:f>
        <x:v>0.000003814697265625</x:v>
      </x:c>
      <x:c r="N59" s="18" t="n">
        <x:f>F59*L59</x:f>
        <x:v>0.000003814697265625</x:v>
      </x:c>
      <x:c r="O59" s="18" t="n">
        <x:f>G59*L59</x:f>
        <x:v>0</x:v>
      </x:c>
      <x:c r="P59" s="18" t="n">
        <x:f>H59*L59</x:f>
        <x:v>0</x:v>
      </x:c>
      <x:c r="Q59" s="18" t="n">
        <x:f>I59*L59</x:f>
        <x:v>0</x:v>
      </x:c>
      <x:c r="R59" s="18" t="n">
        <x:f>J59*L59</x:f>
        <x:v>0.000003814697265625</x:v>
      </x:c>
      <x:c r="S59" s="18" t="n">
        <x:f>K59*L59</x:f>
        <x:v>0.000003814697265625</x:v>
      </x:c>
    </x:row>
    <x:row r="60" ht="27" customHeight="1">
      <x:c r="A60" s="13" t="n">
        <x:v>1</x:v>
      </x:c>
      <x:c r="B60" s="13" t="n">
        <x:v>0</x:v>
      </x:c>
      <x:c r="C60" s="13" t="n">
        <x:v>0</x:v>
      </x:c>
      <x:c r="D60" s="13" t="n">
        <x:v>8</x:v>
      </x:c>
      <x:c r="E60" s="13" t="n">
        <x:v>9</x:v>
      </x:c>
      <x:c r="F60" s="13" t="n">
        <x:v>9</x:v>
      </x:c>
      <x:c r="G60" s="13" t="n">
        <x:v>0</x:v>
      </x:c>
      <x:c r="H60" s="13" t="n">
        <x:v>0</x:v>
      </x:c>
      <x:c r="I60" s="13" t="n">
        <x:v>0</x:v>
      </x:c>
      <x:c r="J60" s="13" t="n">
        <x:v>9</x:v>
      </x:c>
      <x:c r="K60" s="13" t="n">
        <x:v>9</x:v>
      </x:c>
      <x:c r="L60" s="19" t="n">
        <x:f>'参数'!$D$5^A60*'参数'!$D$6^B60*'参数'!$D$7^C60*'参数'!$D$8^D60</x:f>
        <x:v>0.000003814697265625</x:v>
      </x:c>
      <x:c r="M60" s="19" t="n">
        <x:f>E60*L60</x:f>
        <x:v>0.000034332275390625</x:v>
      </x:c>
      <x:c r="N60" s="19" t="n">
        <x:f>F60*L60</x:f>
        <x:v>0.000034332275390625</x:v>
      </x:c>
      <x:c r="O60" s="19" t="n">
        <x:f>G60*L60</x:f>
        <x:v>0</x:v>
      </x:c>
      <x:c r="P60" s="19" t="n">
        <x:f>H60*L60</x:f>
        <x:v>0</x:v>
      </x:c>
      <x:c r="Q60" s="19" t="n">
        <x:f>I60*L60</x:f>
        <x:v>0</x:v>
      </x:c>
      <x:c r="R60" s="19" t="n">
        <x:f>J60*L60</x:f>
        <x:v>0.000034332275390625</x:v>
      </x:c>
      <x:c r="S60" s="19" t="n">
        <x:f>K60*L60</x:f>
        <x:v>0.000034332275390625</x:v>
      </x:c>
    </x:row>
    <x:row r="61" ht="27" customHeight="1">
      <x:c r="A61" s="12" t="n">
        <x:v>1</x:v>
      </x:c>
      <x:c r="B61" s="12" t="n">
        <x:v>0</x:v>
      </x:c>
      <x:c r="C61" s="12" t="n">
        <x:v>1</x:v>
      </x:c>
      <x:c r="D61" s="12" t="n">
        <x:v>7</x:v>
      </x:c>
      <x:c r="E61" s="12" t="n">
        <x:v>72</x:v>
      </x:c>
      <x:c r="F61" s="12" t="n">
        <x:v>72</x:v>
      </x:c>
      <x:c r="G61" s="12" t="n">
        <x:v>0</x:v>
      </x:c>
      <x:c r="H61" s="12" t="n">
        <x:v>8</x:v>
      </x:c>
      <x:c r="I61" s="12" t="n">
        <x:v>36</x:v>
      </x:c>
      <x:c r="J61" s="12" t="n">
        <x:v>28</x:v>
      </x:c>
      <x:c r="K61" s="12" t="n">
        <x:v>72</x:v>
      </x:c>
      <x:c r="L61" s="18" t="n">
        <x:f>'参数'!$D$5^A61*'参数'!$D$6^B61*'参数'!$D$7^C61*'参数'!$D$8^D61</x:f>
        <x:v>0.000003814697265625</x:v>
      </x:c>
      <x:c r="M61" s="18" t="n">
        <x:f>E61*L61</x:f>
        <x:v>0.000274658203125</x:v>
      </x:c>
      <x:c r="N61" s="18" t="n">
        <x:f>F61*L61</x:f>
        <x:v>0.000274658203125</x:v>
      </x:c>
      <x:c r="O61" s="18" t="n">
        <x:f>G61*L61</x:f>
        <x:v>0</x:v>
      </x:c>
      <x:c r="P61" s="18" t="n">
        <x:f>H61*L61</x:f>
        <x:v>0.000030517578125</x:v>
      </x:c>
      <x:c r="Q61" s="18" t="n">
        <x:f>I61*L61</x:f>
        <x:v>0.0001373291015625</x:v>
      </x:c>
      <x:c r="R61" s="18" t="n">
        <x:f>J61*L61</x:f>
        <x:v>0.0001068115234375</x:v>
      </x:c>
      <x:c r="S61" s="18" t="n">
        <x:f>K61*L61</x:f>
        <x:v>0.000274658203125</x:v>
      </x:c>
    </x:row>
    <x:row r="62" ht="27" customHeight="1">
      <x:c r="A62" s="13" t="n">
        <x:v>1</x:v>
      </x:c>
      <x:c r="B62" s="13" t="n">
        <x:v>0</x:v>
      </x:c>
      <x:c r="C62" s="13" t="n">
        <x:v>2</x:v>
      </x:c>
      <x:c r="D62" s="13" t="n">
        <x:v>6</x:v>
      </x:c>
      <x:c r="E62" s="13" t="n">
        <x:v>252</x:v>
      </x:c>
      <x:c r="F62" s="13" t="n">
        <x:v>246</x:v>
      </x:c>
      <x:c r="G62" s="13" t="n">
        <x:v>60</x:v>
      </x:c>
      <x:c r="H62" s="13" t="n">
        <x:v>138</x:v>
      </x:c>
      <x:c r="I62" s="13" t="n">
        <x:v>48</x:v>
      </x:c>
      <x:c r="J62" s="13" t="n">
        <x:v>0</x:v>
      </x:c>
      <x:c r="K62" s="13" t="n">
        <x:v>246</x:v>
      </x:c>
      <x:c r="L62" s="19" t="n">
        <x:f>'参数'!$D$5^A62*'参数'!$D$6^B62*'参数'!$D$7^C62*'参数'!$D$8^D62</x:f>
        <x:v>0.000003814697265625</x:v>
      </x:c>
      <x:c r="M62" s="19" t="n">
        <x:f>E62*L62</x:f>
        <x:v>0.0009613037109375</x:v>
      </x:c>
      <x:c r="N62" s="19" t="n">
        <x:f>F62*L62</x:f>
        <x:v>0.00093841552734375</x:v>
      </x:c>
      <x:c r="O62" s="19" t="n">
        <x:f>G62*L62</x:f>
        <x:v>0.0002288818359375</x:v>
      </x:c>
      <x:c r="P62" s="19" t="n">
        <x:f>H62*L62</x:f>
        <x:v>0.00052642822265625</x:v>
      </x:c>
      <x:c r="Q62" s="19" t="n">
        <x:f>I62*L62</x:f>
        <x:v>0.00018310546875</x:v>
      </x:c>
      <x:c r="R62" s="19" t="n">
        <x:f>J62*L62</x:f>
        <x:v>0</x:v>
      </x:c>
      <x:c r="S62" s="19" t="n">
        <x:f>K62*L62</x:f>
        <x:v>0.00093841552734375</x:v>
      </x:c>
    </x:row>
    <x:row r="63" ht="27" customHeight="1">
      <x:c r="A63" s="12" t="n">
        <x:v>1</x:v>
      </x:c>
      <x:c r="B63" s="12" t="n">
        <x:v>0</x:v>
      </x:c>
      <x:c r="C63" s="12" t="n">
        <x:v>3</x:v>
      </x:c>
      <x:c r="D63" s="12" t="n">
        <x:v>5</x:v>
      </x:c>
      <x:c r="E63" s="12" t="n">
        <x:v>504</x:v>
      </x:c>
      <x:c r="F63" s="12" t="n">
        <x:v>404</x:v>
      </x:c>
      <x:c r="G63" s="12" t="n">
        <x:v>352</x:v>
      </x:c>
      <x:c r="H63" s="12" t="n">
        <x:v>88</x:v>
      </x:c>
      <x:c r="I63" s="12" t="n">
        <x:v>0</x:v>
      </x:c>
      <x:c r="J63" s="12" t="n">
        <x:v>0</x:v>
      </x:c>
      <x:c r="K63" s="12" t="n">
        <x:v>440</x:v>
      </x:c>
      <x:c r="L63" s="18" t="n">
        <x:f>'参数'!$D$5^A63*'参数'!$D$6^B63*'参数'!$D$7^C63*'参数'!$D$8^D63</x:f>
        <x:v>0.000003814697265625</x:v>
      </x:c>
      <x:c r="M63" s="18" t="n">
        <x:f>E63*L63</x:f>
        <x:v>0.001922607421875</x:v>
      </x:c>
      <x:c r="N63" s="18" t="n">
        <x:f>F63*L63</x:f>
        <x:v>0.0015411376953125</x:v>
      </x:c>
      <x:c r="O63" s="18" t="n">
        <x:f>G63*L63</x:f>
        <x:v>0.0013427734375</x:v>
      </x:c>
      <x:c r="P63" s="18" t="n">
        <x:f>H63*L63</x:f>
        <x:v>0.000335693359375</x:v>
      </x:c>
      <x:c r="Q63" s="18" t="n">
        <x:f>I63*L63</x:f>
        <x:v>0</x:v>
      </x:c>
      <x:c r="R63" s="18" t="n">
        <x:f>J63*L63</x:f>
        <x:v>0</x:v>
      </x:c>
      <x:c r="S63" s="18" t="n">
        <x:f>K63*L63</x:f>
        <x:v>0.001678466796875</x:v>
      </x:c>
    </x:row>
    <x:row r="64" ht="27" customHeight="1">
      <x:c r="A64" s="13" t="n">
        <x:v>1</x:v>
      </x:c>
      <x:c r="B64" s="13" t="n">
        <x:v>0</x:v>
      </x:c>
      <x:c r="C64" s="13" t="n">
        <x:v>4</x:v>
      </x:c>
      <x:c r="D64" s="13" t="n">
        <x:v>4</x:v>
      </x:c>
      <x:c r="E64" s="13" t="n">
        <x:v>630</x:v>
      </x:c>
      <x:c r="F64" s="13" t="n">
        <x:v>408</x:v>
      </x:c>
      <x:c r="G64" s="13" t="n">
        <x:v>480</x:v>
      </x:c>
      <x:c r="H64" s="13" t="n">
        <x:v>0</x:v>
      </x:c>
      <x:c r="I64" s="13" t="n">
        <x:v>0</x:v>
      </x:c>
      <x:c r="J64" s="13" t="n">
        <x:v>0</x:v>
      </x:c>
      <x:c r="K64" s="13" t="n">
        <x:v>480</x:v>
      </x:c>
      <x:c r="L64" s="19" t="n">
        <x:f>'参数'!$D$5^A64*'参数'!$D$6^B64*'参数'!$D$7^C64*'参数'!$D$8^D64</x:f>
        <x:v>0.000003814697265625</x:v>
      </x:c>
      <x:c r="M64" s="19" t="n">
        <x:f>E64*L64</x:f>
        <x:v>0.00240325927734375</x:v>
      </x:c>
      <x:c r="N64" s="19" t="n">
        <x:f>F64*L64</x:f>
        <x:v>0.001556396484375</x:v>
      </x:c>
      <x:c r="O64" s="19" t="n">
        <x:f>G64*L64</x:f>
        <x:v>0.0018310546875</x:v>
      </x:c>
      <x:c r="P64" s="19" t="n">
        <x:f>H64*L64</x:f>
        <x:v>0</x:v>
      </x:c>
      <x:c r="Q64" s="19" t="n">
        <x:f>I64*L64</x:f>
        <x:v>0</x:v>
      </x:c>
      <x:c r="R64" s="19" t="n">
        <x:f>J64*L64</x:f>
        <x:v>0</x:v>
      </x:c>
      <x:c r="S64" s="19" t="n">
        <x:f>K64*L64</x:f>
        <x:v>0.0018310546875</x:v>
      </x:c>
    </x:row>
    <x:row r="65" ht="27" customHeight="1">
      <x:c r="A65" s="12" t="n">
        <x:v>1</x:v>
      </x:c>
      <x:c r="B65" s="12" t="n">
        <x:v>0</x:v>
      </x:c>
      <x:c r="C65" s="12" t="n">
        <x:v>5</x:v>
      </x:c>
      <x:c r="D65" s="12" t="n">
        <x:v>3</x:v>
      </x:c>
      <x:c r="E65" s="12" t="n">
        <x:v>504</x:v>
      </x:c>
      <x:c r="F65" s="12" t="n">
        <x:v>404</x:v>
      </x:c>
      <x:c r="G65" s="12" t="n">
        <x:v>352</x:v>
      </x:c>
      <x:c r="H65" s="12" t="n">
        <x:v>88</x:v>
      </x:c>
      <x:c r="I65" s="12" t="n">
        <x:v>0</x:v>
      </x:c>
      <x:c r="J65" s="12" t="n">
        <x:v>0</x:v>
      </x:c>
      <x:c r="K65" s="12" t="n">
        <x:v>440</x:v>
      </x:c>
      <x:c r="L65" s="18" t="n">
        <x:f>'参数'!$D$5^A65*'参数'!$D$6^B65*'参数'!$D$7^C65*'参数'!$D$8^D65</x:f>
        <x:v>0.000003814697265625</x:v>
      </x:c>
      <x:c r="M65" s="18" t="n">
        <x:f>E65*L65</x:f>
        <x:v>0.001922607421875</x:v>
      </x:c>
      <x:c r="N65" s="18" t="n">
        <x:f>F65*L65</x:f>
        <x:v>0.0015411376953125</x:v>
      </x:c>
      <x:c r="O65" s="18" t="n">
        <x:f>G65*L65</x:f>
        <x:v>0.0013427734375</x:v>
      </x:c>
      <x:c r="P65" s="18" t="n">
        <x:f>H65*L65</x:f>
        <x:v>0.000335693359375</x:v>
      </x:c>
      <x:c r="Q65" s="18" t="n">
        <x:f>I65*L65</x:f>
        <x:v>0</x:v>
      </x:c>
      <x:c r="R65" s="18" t="n">
        <x:f>J65*L65</x:f>
        <x:v>0</x:v>
      </x:c>
      <x:c r="S65" s="18" t="n">
        <x:f>K65*L65</x:f>
        <x:v>0.001678466796875</x:v>
      </x:c>
    </x:row>
    <x:row r="66" ht="27" customHeight="1">
      <x:c r="A66" s="13" t="n">
        <x:v>1</x:v>
      </x:c>
      <x:c r="B66" s="13" t="n">
        <x:v>0</x:v>
      </x:c>
      <x:c r="C66" s="13" t="n">
        <x:v>6</x:v>
      </x:c>
      <x:c r="D66" s="13" t="n">
        <x:v>2</x:v>
      </x:c>
      <x:c r="E66" s="13" t="n">
        <x:v>252</x:v>
      </x:c>
      <x:c r="F66" s="13" t="n">
        <x:v>246</x:v>
      </x:c>
      <x:c r="G66" s="13" t="n">
        <x:v>60</x:v>
      </x:c>
      <x:c r="H66" s="13" t="n">
        <x:v>138</x:v>
      </x:c>
      <x:c r="I66" s="13" t="n">
        <x:v>48</x:v>
      </x:c>
      <x:c r="J66" s="13" t="n">
        <x:v>0</x:v>
      </x:c>
      <x:c r="K66" s="13" t="n">
        <x:v>246</x:v>
      </x:c>
      <x:c r="L66" s="19" t="n">
        <x:f>'参数'!$D$5^A66*'参数'!$D$6^B66*'参数'!$D$7^C66*'参数'!$D$8^D66</x:f>
        <x:v>0.000003814697265625</x:v>
      </x:c>
      <x:c r="M66" s="19" t="n">
        <x:f>E66*L66</x:f>
        <x:v>0.0009613037109375</x:v>
      </x:c>
      <x:c r="N66" s="19" t="n">
        <x:f>F66*L66</x:f>
        <x:v>0.00093841552734375</x:v>
      </x:c>
      <x:c r="O66" s="19" t="n">
        <x:f>G66*L66</x:f>
        <x:v>0.0002288818359375</x:v>
      </x:c>
      <x:c r="P66" s="19" t="n">
        <x:f>H66*L66</x:f>
        <x:v>0.00052642822265625</x:v>
      </x:c>
      <x:c r="Q66" s="19" t="n">
        <x:f>I66*L66</x:f>
        <x:v>0.00018310546875</x:v>
      </x:c>
      <x:c r="R66" s="19" t="n">
        <x:f>J66*L66</x:f>
        <x:v>0</x:v>
      </x:c>
      <x:c r="S66" s="19" t="n">
        <x:f>K66*L66</x:f>
        <x:v>0.00093841552734375</x:v>
      </x:c>
    </x:row>
    <x:row r="67" ht="27" customHeight="1">
      <x:c r="A67" s="12" t="n">
        <x:v>1</x:v>
      </x:c>
      <x:c r="B67" s="12" t="n">
        <x:v>0</x:v>
      </x:c>
      <x:c r="C67" s="12" t="n">
        <x:v>7</x:v>
      </x:c>
      <x:c r="D67" s="12" t="n">
        <x:v>1</x:v>
      </x:c>
      <x:c r="E67" s="12" t="n">
        <x:v>72</x:v>
      </x:c>
      <x:c r="F67" s="12" t="n">
        <x:v>72</x:v>
      </x:c>
      <x:c r="G67" s="12" t="n">
        <x:v>0</x:v>
      </x:c>
      <x:c r="H67" s="12" t="n">
        <x:v>8</x:v>
      </x:c>
      <x:c r="I67" s="12" t="n">
        <x:v>36</x:v>
      </x:c>
      <x:c r="J67" s="12" t="n">
        <x:v>28</x:v>
      </x:c>
      <x:c r="K67" s="12" t="n">
        <x:v>72</x:v>
      </x:c>
      <x:c r="L67" s="18" t="n">
        <x:f>'参数'!$D$5^A67*'参数'!$D$6^B67*'参数'!$D$7^C67*'参数'!$D$8^D67</x:f>
        <x:v>0.000003814697265625</x:v>
      </x:c>
      <x:c r="M67" s="18" t="n">
        <x:f>E67*L67</x:f>
        <x:v>0.000274658203125</x:v>
      </x:c>
      <x:c r="N67" s="18" t="n">
        <x:f>F67*L67</x:f>
        <x:v>0.000274658203125</x:v>
      </x:c>
      <x:c r="O67" s="18" t="n">
        <x:f>G67*L67</x:f>
        <x:v>0</x:v>
      </x:c>
      <x:c r="P67" s="18" t="n">
        <x:f>H67*L67</x:f>
        <x:v>0.000030517578125</x:v>
      </x:c>
      <x:c r="Q67" s="18" t="n">
        <x:f>I67*L67</x:f>
        <x:v>0.0001373291015625</x:v>
      </x:c>
      <x:c r="R67" s="18" t="n">
        <x:f>J67*L67</x:f>
        <x:v>0.0001068115234375</x:v>
      </x:c>
      <x:c r="S67" s="18" t="n">
        <x:f>K67*L67</x:f>
        <x:v>0.000274658203125</x:v>
      </x:c>
    </x:row>
    <x:row r="68" ht="27" customHeight="1">
      <x:c r="A68" s="13" t="n">
        <x:v>1</x:v>
      </x:c>
      <x:c r="B68" s="13" t="n">
        <x:v>0</x:v>
      </x:c>
      <x:c r="C68" s="13" t="n">
        <x:v>8</x:v>
      </x:c>
      <x:c r="D68" s="13" t="n">
        <x:v>0</x:v>
      </x:c>
      <x:c r="E68" s="13" t="n">
        <x:v>9</x:v>
      </x:c>
      <x:c r="F68" s="13" t="n">
        <x:v>9</x:v>
      </x:c>
      <x:c r="G68" s="13" t="n">
        <x:v>0</x:v>
      </x:c>
      <x:c r="H68" s="13" t="n">
        <x:v>0</x:v>
      </x:c>
      <x:c r="I68" s="13" t="n">
        <x:v>0</x:v>
      </x:c>
      <x:c r="J68" s="13" t="n">
        <x:v>9</x:v>
      </x:c>
      <x:c r="K68" s="13" t="n">
        <x:v>9</x:v>
      </x:c>
      <x:c r="L68" s="19" t="n">
        <x:f>'参数'!$D$5^A68*'参数'!$D$6^B68*'参数'!$D$7^C68*'参数'!$D$8^D68</x:f>
        <x:v>0.000003814697265625</x:v>
      </x:c>
      <x:c r="M68" s="19" t="n">
        <x:f>E68*L68</x:f>
        <x:v>0.000034332275390625</x:v>
      </x:c>
      <x:c r="N68" s="19" t="n">
        <x:f>F68*L68</x:f>
        <x:v>0.000034332275390625</x:v>
      </x:c>
      <x:c r="O68" s="19" t="n">
        <x:f>G68*L68</x:f>
        <x:v>0</x:v>
      </x:c>
      <x:c r="P68" s="19" t="n">
        <x:f>H68*L68</x:f>
        <x:v>0</x:v>
      </x:c>
      <x:c r="Q68" s="19" t="n">
        <x:f>I68*L68</x:f>
        <x:v>0</x:v>
      </x:c>
      <x:c r="R68" s="19" t="n">
        <x:f>J68*L68</x:f>
        <x:v>0.000034332275390625</x:v>
      </x:c>
      <x:c r="S68" s="19" t="n">
        <x:f>K68*L68</x:f>
        <x:v>0.000034332275390625</x:v>
      </x:c>
    </x:row>
    <x:row r="69" ht="27" customHeight="1">
      <x:c r="A69" s="12" t="n">
        <x:v>1</x:v>
      </x:c>
      <x:c r="B69" s="12" t="n">
        <x:v>1</x:v>
      </x:c>
      <x:c r="C69" s="12" t="n">
        <x:v>0</x:v>
      </x:c>
      <x:c r="D69" s="12" t="n">
        <x:v>7</x:v>
      </x:c>
      <x:c r="E69" s="12" t="n">
        <x:v>72</x:v>
      </x:c>
      <x:c r="F69" s="12" t="n">
        <x:v>72</x:v>
      </x:c>
      <x:c r="G69" s="12" t="n">
        <x:v>0</x:v>
      </x:c>
      <x:c r="H69" s="12" t="n">
        <x:v>8</x:v>
      </x:c>
      <x:c r="I69" s="12" t="n">
        <x:v>36</x:v>
      </x:c>
      <x:c r="J69" s="12" t="n">
        <x:v>28</x:v>
      </x:c>
      <x:c r="K69" s="12" t="n">
        <x:v>72</x:v>
      </x:c>
      <x:c r="L69" s="18" t="n">
        <x:f>'参数'!$D$5^A69*'参数'!$D$6^B69*'参数'!$D$7^C69*'参数'!$D$8^D69</x:f>
        <x:v>0.000003814697265625</x:v>
      </x:c>
      <x:c r="M69" s="18" t="n">
        <x:f>E69*L69</x:f>
        <x:v>0.000274658203125</x:v>
      </x:c>
      <x:c r="N69" s="18" t="n">
        <x:f>F69*L69</x:f>
        <x:v>0.000274658203125</x:v>
      </x:c>
      <x:c r="O69" s="18" t="n">
        <x:f>G69*L69</x:f>
        <x:v>0</x:v>
      </x:c>
      <x:c r="P69" s="18" t="n">
        <x:f>H69*L69</x:f>
        <x:v>0.000030517578125</x:v>
      </x:c>
      <x:c r="Q69" s="18" t="n">
        <x:f>I69*L69</x:f>
        <x:v>0.0001373291015625</x:v>
      </x:c>
      <x:c r="R69" s="18" t="n">
        <x:f>J69*L69</x:f>
        <x:v>0.0001068115234375</x:v>
      </x:c>
      <x:c r="S69" s="18" t="n">
        <x:f>K69*L69</x:f>
        <x:v>0.000274658203125</x:v>
      </x:c>
    </x:row>
    <x:row r="70" ht="27" customHeight="1">
      <x:c r="A70" s="13" t="n">
        <x:v>1</x:v>
      </x:c>
      <x:c r="B70" s="13" t="n">
        <x:v>1</x:v>
      </x:c>
      <x:c r="C70" s="13" t="n">
        <x:v>1</x:v>
      </x:c>
      <x:c r="D70" s="13" t="n">
        <x:v>6</x:v>
      </x:c>
      <x:c r="E70" s="13" t="n">
        <x:v>504</x:v>
      </x:c>
      <x:c r="F70" s="13" t="n">
        <x:v>492</x:v>
      </x:c>
      <x:c r="G70" s="13" t="n">
        <x:v>120</x:v>
      </x:c>
      <x:c r="H70" s="13" t="n">
        <x:v>276</x:v>
      </x:c>
      <x:c r="I70" s="13" t="n">
        <x:v>96</x:v>
      </x:c>
      <x:c r="J70" s="13" t="n">
        <x:v>0</x:v>
      </x:c>
      <x:c r="K70" s="13" t="n">
        <x:v>492</x:v>
      </x:c>
      <x:c r="L70" s="19" t="n">
        <x:f>'参数'!$D$5^A70*'参数'!$D$6^B70*'参数'!$D$7^C70*'参数'!$D$8^D70</x:f>
        <x:v>0.000003814697265625</x:v>
      </x:c>
      <x:c r="M70" s="19" t="n">
        <x:f>E70*L70</x:f>
        <x:v>0.001922607421875</x:v>
      </x:c>
      <x:c r="N70" s="19" t="n">
        <x:f>F70*L70</x:f>
        <x:v>0.0018768310546875</x:v>
      </x:c>
      <x:c r="O70" s="19" t="n">
        <x:f>G70*L70</x:f>
        <x:v>0.000457763671875</x:v>
      </x:c>
      <x:c r="P70" s="19" t="n">
        <x:f>H70*L70</x:f>
        <x:v>0.0010528564453125</x:v>
      </x:c>
      <x:c r="Q70" s="19" t="n">
        <x:f>I70*L70</x:f>
        <x:v>0.0003662109375</x:v>
      </x:c>
      <x:c r="R70" s="19" t="n">
        <x:f>J70*L70</x:f>
        <x:v>0</x:v>
      </x:c>
      <x:c r="S70" s="19" t="n">
        <x:f>K70*L70</x:f>
        <x:v>0.0018768310546875</x:v>
      </x:c>
    </x:row>
    <x:row r="71" ht="27" customHeight="1">
      <x:c r="A71" s="12" t="n">
        <x:v>1</x:v>
      </x:c>
      <x:c r="B71" s="12" t="n">
        <x:v>1</x:v>
      </x:c>
      <x:c r="C71" s="12" t="n">
        <x:v>2</x:v>
      </x:c>
      <x:c r="D71" s="12" t="n">
        <x:v>5</x:v>
      </x:c>
      <x:c r="E71" s="12" t="n">
        <x:v>1512</x:v>
      </x:c>
      <x:c r="F71" s="12" t="n">
        <x:v>1176</x:v>
      </x:c>
      <x:c r="G71" s="12" t="n">
        <x:v>912</x:v>
      </x:c>
      <x:c r="H71" s="12" t="n">
        <x:v>264</x:v>
      </x:c>
      <x:c r="I71" s="12" t="n">
        <x:v>0</x:v>
      </x:c>
      <x:c r="J71" s="12" t="n">
        <x:v>0</x:v>
      </x:c>
      <x:c r="K71" s="12" t="n">
        <x:v>1176</x:v>
      </x:c>
      <x:c r="L71" s="18" t="n">
        <x:f>'参数'!$D$5^A71*'参数'!$D$6^B71*'参数'!$D$7^C71*'参数'!$D$8^D71</x:f>
        <x:v>0.000003814697265625</x:v>
      </x:c>
      <x:c r="M71" s="18" t="n">
        <x:f>E71*L71</x:f>
        <x:v>0.005767822265625</x:v>
      </x:c>
      <x:c r="N71" s="18" t="n">
        <x:f>F71*L71</x:f>
        <x:v>0.004486083984375</x:v>
      </x:c>
      <x:c r="O71" s="18" t="n">
        <x:f>G71*L71</x:f>
        <x:v>0.00347900390625</x:v>
      </x:c>
      <x:c r="P71" s="18" t="n">
        <x:f>H71*L71</x:f>
        <x:v>0.001007080078125</x:v>
      </x:c>
      <x:c r="Q71" s="18" t="n">
        <x:f>I71*L71</x:f>
        <x:v>0</x:v>
      </x:c>
      <x:c r="R71" s="18" t="n">
        <x:f>J71*L71</x:f>
        <x:v>0</x:v>
      </x:c>
      <x:c r="S71" s="18" t="n">
        <x:f>K71*L71</x:f>
        <x:v>0.004486083984375</x:v>
      </x:c>
    </x:row>
    <x:row r="72" ht="27" customHeight="1">
      <x:c r="A72" s="13" t="n">
        <x:v>1</x:v>
      </x:c>
      <x:c r="B72" s="13" t="n">
        <x:v>1</x:v>
      </x:c>
      <x:c r="C72" s="13" t="n">
        <x:v>3</x:v>
      </x:c>
      <x:c r="D72" s="13" t="n">
        <x:v>4</x:v>
      </x:c>
      <x:c r="E72" s="13" t="n">
        <x:v>2520</x:v>
      </x:c>
      <x:c r="F72" s="13" t="n">
        <x:v>1128</x:v>
      </x:c>
      <x:c r="G72" s="13" t="n">
        <x:v>1200</x:v>
      </x:c>
      <x:c r="H72" s="13" t="n">
        <x:v>0</x:v>
      </x:c>
      <x:c r="I72" s="13" t="n">
        <x:v>0</x:v>
      </x:c>
      <x:c r="J72" s="13" t="n">
        <x:v>0</x:v>
      </x:c>
      <x:c r="K72" s="13" t="n">
        <x:v>1200</x:v>
      </x:c>
      <x:c r="L72" s="19" t="n">
        <x:f>'参数'!$D$5^A72*'参数'!$D$6^B72*'参数'!$D$7^C72*'参数'!$D$8^D72</x:f>
        <x:v>0.000003814697265625</x:v>
      </x:c>
      <x:c r="M72" s="19" t="n">
        <x:f>E72*L72</x:f>
        <x:v>0.009613037109375</x:v>
      </x:c>
      <x:c r="N72" s="19" t="n">
        <x:f>F72*L72</x:f>
        <x:v>0.004302978515625</x:v>
      </x:c>
      <x:c r="O72" s="19" t="n">
        <x:f>G72*L72</x:f>
        <x:v>0.00457763671875</x:v>
      </x:c>
      <x:c r="P72" s="19" t="n">
        <x:f>H72*L72</x:f>
        <x:v>0</x:v>
      </x:c>
      <x:c r="Q72" s="19" t="n">
        <x:f>I72*L72</x:f>
        <x:v>0</x:v>
      </x:c>
      <x:c r="R72" s="19" t="n">
        <x:f>J72*L72</x:f>
        <x:v>0</x:v>
      </x:c>
      <x:c r="S72" s="19" t="n">
        <x:f>K72*L72</x:f>
        <x:v>0.00457763671875</x:v>
      </x:c>
    </x:row>
    <x:row r="73" ht="27" customHeight="1">
      <x:c r="A73" s="12" t="n">
        <x:v>1</x:v>
      </x:c>
      <x:c r="B73" s="12" t="n">
        <x:v>1</x:v>
      </x:c>
      <x:c r="C73" s="12" t="n">
        <x:v>4</x:v>
      </x:c>
      <x:c r="D73" s="12" t="n">
        <x:v>3</x:v>
      </x:c>
      <x:c r="E73" s="12" t="n">
        <x:v>2520</x:v>
      </x:c>
      <x:c r="F73" s="12" t="n">
        <x:v>1128</x:v>
      </x:c>
      <x:c r="G73" s="12" t="n">
        <x:v>1200</x:v>
      </x:c>
      <x:c r="H73" s="12" t="n">
        <x:v>0</x:v>
      </x:c>
      <x:c r="I73" s="12" t="n">
        <x:v>0</x:v>
      </x:c>
      <x:c r="J73" s="12" t="n">
        <x:v>0</x:v>
      </x:c>
      <x:c r="K73" s="12" t="n">
        <x:v>1200</x:v>
      </x:c>
      <x:c r="L73" s="18" t="n">
        <x:f>'参数'!$D$5^A73*'参数'!$D$6^B73*'参数'!$D$7^C73*'参数'!$D$8^D73</x:f>
        <x:v>0.000003814697265625</x:v>
      </x:c>
      <x:c r="M73" s="18" t="n">
        <x:f>E73*L73</x:f>
        <x:v>0.009613037109375</x:v>
      </x:c>
      <x:c r="N73" s="18" t="n">
        <x:f>F73*L73</x:f>
        <x:v>0.004302978515625</x:v>
      </x:c>
      <x:c r="O73" s="18" t="n">
        <x:f>G73*L73</x:f>
        <x:v>0.00457763671875</x:v>
      </x:c>
      <x:c r="P73" s="18" t="n">
        <x:f>H73*L73</x:f>
        <x:v>0</x:v>
      </x:c>
      <x:c r="Q73" s="18" t="n">
        <x:f>I73*L73</x:f>
        <x:v>0</x:v>
      </x:c>
      <x:c r="R73" s="18" t="n">
        <x:f>J73*L73</x:f>
        <x:v>0</x:v>
      </x:c>
      <x:c r="S73" s="18" t="n">
        <x:f>K73*L73</x:f>
        <x:v>0.00457763671875</x:v>
      </x:c>
    </x:row>
    <x:row r="74" ht="27" customHeight="1">
      <x:c r="A74" s="13" t="n">
        <x:v>1</x:v>
      </x:c>
      <x:c r="B74" s="13" t="n">
        <x:v>1</x:v>
      </x:c>
      <x:c r="C74" s="13" t="n">
        <x:v>5</x:v>
      </x:c>
      <x:c r="D74" s="13" t="n">
        <x:v>2</x:v>
      </x:c>
      <x:c r="E74" s="13" t="n">
        <x:v>1512</x:v>
      </x:c>
      <x:c r="F74" s="13" t="n">
        <x:v>1176</x:v>
      </x:c>
      <x:c r="G74" s="13" t="n">
        <x:v>912</x:v>
      </x:c>
      <x:c r="H74" s="13" t="n">
        <x:v>264</x:v>
      </x:c>
      <x:c r="I74" s="13" t="n">
        <x:v>0</x:v>
      </x:c>
      <x:c r="J74" s="13" t="n">
        <x:v>0</x:v>
      </x:c>
      <x:c r="K74" s="13" t="n">
        <x:v>1176</x:v>
      </x:c>
      <x:c r="L74" s="19" t="n">
        <x:f>'参数'!$D$5^A74*'参数'!$D$6^B74*'参数'!$D$7^C74*'参数'!$D$8^D74</x:f>
        <x:v>0.000003814697265625</x:v>
      </x:c>
      <x:c r="M74" s="19" t="n">
        <x:f>E74*L74</x:f>
        <x:v>0.005767822265625</x:v>
      </x:c>
      <x:c r="N74" s="19" t="n">
        <x:f>F74*L74</x:f>
        <x:v>0.004486083984375</x:v>
      </x:c>
      <x:c r="O74" s="19" t="n">
        <x:f>G74*L74</x:f>
        <x:v>0.00347900390625</x:v>
      </x:c>
      <x:c r="P74" s="19" t="n">
        <x:f>H74*L74</x:f>
        <x:v>0.001007080078125</x:v>
      </x:c>
      <x:c r="Q74" s="19" t="n">
        <x:f>I74*L74</x:f>
        <x:v>0</x:v>
      </x:c>
      <x:c r="R74" s="19" t="n">
        <x:f>J74*L74</x:f>
        <x:v>0</x:v>
      </x:c>
      <x:c r="S74" s="19" t="n">
        <x:f>K74*L74</x:f>
        <x:v>0.004486083984375</x:v>
      </x:c>
    </x:row>
    <x:row r="75" ht="27" customHeight="1">
      <x:c r="A75" s="12" t="n">
        <x:v>1</x:v>
      </x:c>
      <x:c r="B75" s="12" t="n">
        <x:v>1</x:v>
      </x:c>
      <x:c r="C75" s="12" t="n">
        <x:v>6</x:v>
      </x:c>
      <x:c r="D75" s="12" t="n">
        <x:v>1</x:v>
      </x:c>
      <x:c r="E75" s="12" t="n">
        <x:v>504</x:v>
      </x:c>
      <x:c r="F75" s="12" t="n">
        <x:v>492</x:v>
      </x:c>
      <x:c r="G75" s="12" t="n">
        <x:v>120</x:v>
      </x:c>
      <x:c r="H75" s="12" t="n">
        <x:v>276</x:v>
      </x:c>
      <x:c r="I75" s="12" t="n">
        <x:v>96</x:v>
      </x:c>
      <x:c r="J75" s="12" t="n">
        <x:v>0</x:v>
      </x:c>
      <x:c r="K75" s="12" t="n">
        <x:v>492</x:v>
      </x:c>
      <x:c r="L75" s="18" t="n">
        <x:f>'参数'!$D$5^A75*'参数'!$D$6^B75*'参数'!$D$7^C75*'参数'!$D$8^D75</x:f>
        <x:v>0.000003814697265625</x:v>
      </x:c>
      <x:c r="M75" s="18" t="n">
        <x:f>E75*L75</x:f>
        <x:v>0.001922607421875</x:v>
      </x:c>
      <x:c r="N75" s="18" t="n">
        <x:f>F75*L75</x:f>
        <x:v>0.0018768310546875</x:v>
      </x:c>
      <x:c r="O75" s="18" t="n">
        <x:f>G75*L75</x:f>
        <x:v>0.000457763671875</x:v>
      </x:c>
      <x:c r="P75" s="18" t="n">
        <x:f>H75*L75</x:f>
        <x:v>0.0010528564453125</x:v>
      </x:c>
      <x:c r="Q75" s="18" t="n">
        <x:f>I75*L75</x:f>
        <x:v>0.0003662109375</x:v>
      </x:c>
      <x:c r="R75" s="18" t="n">
        <x:f>J75*L75</x:f>
        <x:v>0</x:v>
      </x:c>
      <x:c r="S75" s="18" t="n">
        <x:f>K75*L75</x:f>
        <x:v>0.0018768310546875</x:v>
      </x:c>
    </x:row>
    <x:row r="76" ht="27" customHeight="1">
      <x:c r="A76" s="13" t="n">
        <x:v>1</x:v>
      </x:c>
      <x:c r="B76" s="13" t="n">
        <x:v>1</x:v>
      </x:c>
      <x:c r="C76" s="13" t="n">
        <x:v>7</x:v>
      </x:c>
      <x:c r="D76" s="13" t="n">
        <x:v>0</x:v>
      </x:c>
      <x:c r="E76" s="13" t="n">
        <x:v>72</x:v>
      </x:c>
      <x:c r="F76" s="13" t="n">
        <x:v>72</x:v>
      </x:c>
      <x:c r="G76" s="13" t="n">
        <x:v>0</x:v>
      </x:c>
      <x:c r="H76" s="13" t="n">
        <x:v>8</x:v>
      </x:c>
      <x:c r="I76" s="13" t="n">
        <x:v>36</x:v>
      </x:c>
      <x:c r="J76" s="13" t="n">
        <x:v>28</x:v>
      </x:c>
      <x:c r="K76" s="13" t="n">
        <x:v>72</x:v>
      </x:c>
      <x:c r="L76" s="19" t="n">
        <x:f>'参数'!$D$5^A76*'参数'!$D$6^B76*'参数'!$D$7^C76*'参数'!$D$8^D76</x:f>
        <x:v>0.000003814697265625</x:v>
      </x:c>
      <x:c r="M76" s="19" t="n">
        <x:f>E76*L76</x:f>
        <x:v>0.000274658203125</x:v>
      </x:c>
      <x:c r="N76" s="19" t="n">
        <x:f>F76*L76</x:f>
        <x:v>0.000274658203125</x:v>
      </x:c>
      <x:c r="O76" s="19" t="n">
        <x:f>G76*L76</x:f>
        <x:v>0</x:v>
      </x:c>
      <x:c r="P76" s="19" t="n">
        <x:f>H76*L76</x:f>
        <x:v>0.000030517578125</x:v>
      </x:c>
      <x:c r="Q76" s="19" t="n">
        <x:f>I76*L76</x:f>
        <x:v>0.0001373291015625</x:v>
      </x:c>
      <x:c r="R76" s="19" t="n">
        <x:f>J76*L76</x:f>
        <x:v>0.0001068115234375</x:v>
      </x:c>
      <x:c r="S76" s="19" t="n">
        <x:f>K76*L76</x:f>
        <x:v>0.000274658203125</x:v>
      </x:c>
    </x:row>
    <x:row r="77" ht="27" customHeight="1">
      <x:c r="A77" s="12" t="n">
        <x:v>1</x:v>
      </x:c>
      <x:c r="B77" s="12" t="n">
        <x:v>2</x:v>
      </x:c>
      <x:c r="C77" s="12" t="n">
        <x:v>0</x:v>
      </x:c>
      <x:c r="D77" s="12" t="n">
        <x:v>6</x:v>
      </x:c>
      <x:c r="E77" s="12" t="n">
        <x:v>252</x:v>
      </x:c>
      <x:c r="F77" s="12" t="n">
        <x:v>246</x:v>
      </x:c>
      <x:c r="G77" s="12" t="n">
        <x:v>60</x:v>
      </x:c>
      <x:c r="H77" s="12" t="n">
        <x:v>138</x:v>
      </x:c>
      <x:c r="I77" s="12" t="n">
        <x:v>48</x:v>
      </x:c>
      <x:c r="J77" s="12" t="n">
        <x:v>0</x:v>
      </x:c>
      <x:c r="K77" s="12" t="n">
        <x:v>246</x:v>
      </x:c>
      <x:c r="L77" s="18" t="n">
        <x:f>'参数'!$D$5^A77*'参数'!$D$6^B77*'参数'!$D$7^C77*'参数'!$D$8^D77</x:f>
        <x:v>0.000003814697265625</x:v>
      </x:c>
      <x:c r="M77" s="18" t="n">
        <x:f>E77*L77</x:f>
        <x:v>0.0009613037109375</x:v>
      </x:c>
      <x:c r="N77" s="18" t="n">
        <x:f>F77*L77</x:f>
        <x:v>0.00093841552734375</x:v>
      </x:c>
      <x:c r="O77" s="18" t="n">
        <x:f>G77*L77</x:f>
        <x:v>0.0002288818359375</x:v>
      </x:c>
      <x:c r="P77" s="18" t="n">
        <x:f>H77*L77</x:f>
        <x:v>0.00052642822265625</x:v>
      </x:c>
      <x:c r="Q77" s="18" t="n">
        <x:f>I77*L77</x:f>
        <x:v>0.00018310546875</x:v>
      </x:c>
      <x:c r="R77" s="18" t="n">
        <x:f>J77*L77</x:f>
        <x:v>0</x:v>
      </x:c>
      <x:c r="S77" s="18" t="n">
        <x:f>K77*L77</x:f>
        <x:v>0.00093841552734375</x:v>
      </x:c>
    </x:row>
    <x:row r="78" ht="27" customHeight="1">
      <x:c r="A78" s="13" t="n">
        <x:v>1</x:v>
      </x:c>
      <x:c r="B78" s="13" t="n">
        <x:v>2</x:v>
      </x:c>
      <x:c r="C78" s="13" t="n">
        <x:v>1</x:v>
      </x:c>
      <x:c r="D78" s="13" t="n">
        <x:v>5</x:v>
      </x:c>
      <x:c r="E78" s="13" t="n">
        <x:v>1512</x:v>
      </x:c>
      <x:c r="F78" s="13" t="n">
        <x:v>1176</x:v>
      </x:c>
      <x:c r="G78" s="13" t="n">
        <x:v>912</x:v>
      </x:c>
      <x:c r="H78" s="13" t="n">
        <x:v>264</x:v>
      </x:c>
      <x:c r="I78" s="13" t="n">
        <x:v>0</x:v>
      </x:c>
      <x:c r="J78" s="13" t="n">
        <x:v>0</x:v>
      </x:c>
      <x:c r="K78" s="13" t="n">
        <x:v>1176</x:v>
      </x:c>
      <x:c r="L78" s="19" t="n">
        <x:f>'参数'!$D$5^A78*'参数'!$D$6^B78*'参数'!$D$7^C78*'参数'!$D$8^D78</x:f>
        <x:v>0.000003814697265625</x:v>
      </x:c>
      <x:c r="M78" s="19" t="n">
        <x:f>E78*L78</x:f>
        <x:v>0.005767822265625</x:v>
      </x:c>
      <x:c r="N78" s="19" t="n">
        <x:f>F78*L78</x:f>
        <x:v>0.004486083984375</x:v>
      </x:c>
      <x:c r="O78" s="19" t="n">
        <x:f>G78*L78</x:f>
        <x:v>0.00347900390625</x:v>
      </x:c>
      <x:c r="P78" s="19" t="n">
        <x:f>H78*L78</x:f>
        <x:v>0.001007080078125</x:v>
      </x:c>
      <x:c r="Q78" s="19" t="n">
        <x:f>I78*L78</x:f>
        <x:v>0</x:v>
      </x:c>
      <x:c r="R78" s="19" t="n">
        <x:f>J78*L78</x:f>
        <x:v>0</x:v>
      </x:c>
      <x:c r="S78" s="19" t="n">
        <x:f>K78*L78</x:f>
        <x:v>0.004486083984375</x:v>
      </x:c>
    </x:row>
    <x:row r="79" ht="27" customHeight="1">
      <x:c r="A79" s="12" t="n">
        <x:v>1</x:v>
      </x:c>
      <x:c r="B79" s="12" t="n">
        <x:v>2</x:v>
      </x:c>
      <x:c r="C79" s="12" t="n">
        <x:v>2</x:v>
      </x:c>
      <x:c r="D79" s="12" t="n">
        <x:v>4</x:v>
      </x:c>
      <x:c r="E79" s="12" t="n">
        <x:v>3780</x:v>
      </x:c>
      <x:c r="F79" s="12" t="n">
        <x:v>1440</x:v>
      </x:c>
      <x:c r="G79" s="12" t="n">
        <x:v>1440</x:v>
      </x:c>
      <x:c r="H79" s="12" t="n">
        <x:v>0</x:v>
      </x:c>
      <x:c r="I79" s="12" t="n">
        <x:v>0</x:v>
      </x:c>
      <x:c r="J79" s="12" t="n">
        <x:v>0</x:v>
      </x:c>
      <x:c r="K79" s="12" t="n">
        <x:v>1440</x:v>
      </x:c>
      <x:c r="L79" s="18" t="n">
        <x:f>'参数'!$D$5^A79*'参数'!$D$6^B79*'参数'!$D$7^C79*'参数'!$D$8^D79</x:f>
        <x:v>0.000003814697265625</x:v>
      </x:c>
      <x:c r="M79" s="18" t="n">
        <x:f>E79*L79</x:f>
        <x:v>0.0144195556640625</x:v>
      </x:c>
      <x:c r="N79" s="18" t="n">
        <x:f>F79*L79</x:f>
        <x:v>0.0054931640625</x:v>
      </x:c>
      <x:c r="O79" s="18" t="n">
        <x:f>G79*L79</x:f>
        <x:v>0.0054931640625</x:v>
      </x:c>
      <x:c r="P79" s="18" t="n">
        <x:f>H79*L79</x:f>
        <x:v>0</x:v>
      </x:c>
      <x:c r="Q79" s="18" t="n">
        <x:f>I79*L79</x:f>
        <x:v>0</x:v>
      </x:c>
      <x:c r="R79" s="18" t="n">
        <x:f>J79*L79</x:f>
        <x:v>0</x:v>
      </x:c>
      <x:c r="S79" s="18" t="n">
        <x:f>K79*L79</x:f>
        <x:v>0.0054931640625</x:v>
      </x:c>
    </x:row>
    <x:row r="80" ht="27" customHeight="1">
      <x:c r="A80" s="13" t="n">
        <x:v>1</x:v>
      </x:c>
      <x:c r="B80" s="13" t="n">
        <x:v>2</x:v>
      </x:c>
      <x:c r="C80" s="13" t="n">
        <x:v>3</x:v>
      </x:c>
      <x:c r="D80" s="13" t="n">
        <x:v>3</x:v>
      </x:c>
      <x:c r="E80" s="13" t="n">
        <x:v>5040</x:v>
      </x:c>
      <x:c r="F80" s="13" t="n">
        <x:v>924</x:v>
      </x:c>
      <x:c r="G80" s="13" t="n">
        <x:v>960</x:v>
      </x:c>
      <x:c r="H80" s="13" t="n">
        <x:v>0</x:v>
      </x:c>
      <x:c r="I80" s="13" t="n">
        <x:v>0</x:v>
      </x:c>
      <x:c r="J80" s="13" t="n">
        <x:v>0</x:v>
      </x:c>
      <x:c r="K80" s="13" t="n">
        <x:v>960</x:v>
      </x:c>
      <x:c r="L80" s="19" t="n">
        <x:f>'参数'!$D$5^A80*'参数'!$D$6^B80*'参数'!$D$7^C80*'参数'!$D$8^D80</x:f>
        <x:v>0.000003814697265625</x:v>
      </x:c>
      <x:c r="M80" s="19" t="n">
        <x:f>E80*L80</x:f>
        <x:v>0.01922607421875</x:v>
      </x:c>
      <x:c r="N80" s="19" t="n">
        <x:f>F80*L80</x:f>
        <x:v>0.0035247802734375</x:v>
      </x:c>
      <x:c r="O80" s="19" t="n">
        <x:f>G80*L80</x:f>
        <x:v>0.003662109375</x:v>
      </x:c>
      <x:c r="P80" s="19" t="n">
        <x:f>H80*L80</x:f>
        <x:v>0</x:v>
      </x:c>
      <x:c r="Q80" s="19" t="n">
        <x:f>I80*L80</x:f>
        <x:v>0</x:v>
      </x:c>
      <x:c r="R80" s="19" t="n">
        <x:f>J80*L80</x:f>
        <x:v>0</x:v>
      </x:c>
      <x:c r="S80" s="19" t="n">
        <x:f>K80*L80</x:f>
        <x:v>0.003662109375</x:v>
      </x:c>
    </x:row>
    <x:row r="81" ht="27" customHeight="1">
      <x:c r="A81" s="12" t="n">
        <x:v>1</x:v>
      </x:c>
      <x:c r="B81" s="12" t="n">
        <x:v>2</x:v>
      </x:c>
      <x:c r="C81" s="12" t="n">
        <x:v>4</x:v>
      </x:c>
      <x:c r="D81" s="12" t="n">
        <x:v>2</x:v>
      </x:c>
      <x:c r="E81" s="12" t="n">
        <x:v>3780</x:v>
      </x:c>
      <x:c r="F81" s="12" t="n">
        <x:v>1440</x:v>
      </x:c>
      <x:c r="G81" s="12" t="n">
        <x:v>1440</x:v>
      </x:c>
      <x:c r="H81" s="12" t="n">
        <x:v>0</x:v>
      </x:c>
      <x:c r="I81" s="12" t="n">
        <x:v>0</x:v>
      </x:c>
      <x:c r="J81" s="12" t="n">
        <x:v>0</x:v>
      </x:c>
      <x:c r="K81" s="12" t="n">
        <x:v>1440</x:v>
      </x:c>
      <x:c r="L81" s="18" t="n">
        <x:f>'参数'!$D$5^A81*'参数'!$D$6^B81*'参数'!$D$7^C81*'参数'!$D$8^D81</x:f>
        <x:v>0.000003814697265625</x:v>
      </x:c>
      <x:c r="M81" s="18" t="n">
        <x:f>E81*L81</x:f>
        <x:v>0.0144195556640625</x:v>
      </x:c>
      <x:c r="N81" s="18" t="n">
        <x:f>F81*L81</x:f>
        <x:v>0.0054931640625</x:v>
      </x:c>
      <x:c r="O81" s="18" t="n">
        <x:f>G81*L81</x:f>
        <x:v>0.0054931640625</x:v>
      </x:c>
      <x:c r="P81" s="18" t="n">
        <x:f>H81*L81</x:f>
        <x:v>0</x:v>
      </x:c>
      <x:c r="Q81" s="18" t="n">
        <x:f>I81*L81</x:f>
        <x:v>0</x:v>
      </x:c>
      <x:c r="R81" s="18" t="n">
        <x:f>J81*L81</x:f>
        <x:v>0</x:v>
      </x:c>
      <x:c r="S81" s="18" t="n">
        <x:f>K81*L81</x:f>
        <x:v>0.0054931640625</x:v>
      </x:c>
    </x:row>
    <x:row r="82" ht="27" customHeight="1">
      <x:c r="A82" s="13" t="n">
        <x:v>1</x:v>
      </x:c>
      <x:c r="B82" s="13" t="n">
        <x:v>2</x:v>
      </x:c>
      <x:c r="C82" s="13" t="n">
        <x:v>5</x:v>
      </x:c>
      <x:c r="D82" s="13" t="n">
        <x:v>1</x:v>
      </x:c>
      <x:c r="E82" s="13" t="n">
        <x:v>1512</x:v>
      </x:c>
      <x:c r="F82" s="13" t="n">
        <x:v>1176</x:v>
      </x:c>
      <x:c r="G82" s="13" t="n">
        <x:v>912</x:v>
      </x:c>
      <x:c r="H82" s="13" t="n">
        <x:v>264</x:v>
      </x:c>
      <x:c r="I82" s="13" t="n">
        <x:v>0</x:v>
      </x:c>
      <x:c r="J82" s="13" t="n">
        <x:v>0</x:v>
      </x:c>
      <x:c r="K82" s="13" t="n">
        <x:v>1176</x:v>
      </x:c>
      <x:c r="L82" s="19" t="n">
        <x:f>'参数'!$D$5^A82*'参数'!$D$6^B82*'参数'!$D$7^C82*'参数'!$D$8^D82</x:f>
        <x:v>0.000003814697265625</x:v>
      </x:c>
      <x:c r="M82" s="19" t="n">
        <x:f>E82*L82</x:f>
        <x:v>0.005767822265625</x:v>
      </x:c>
      <x:c r="N82" s="19" t="n">
        <x:f>F82*L82</x:f>
        <x:v>0.004486083984375</x:v>
      </x:c>
      <x:c r="O82" s="19" t="n">
        <x:f>G82*L82</x:f>
        <x:v>0.00347900390625</x:v>
      </x:c>
      <x:c r="P82" s="19" t="n">
        <x:f>H82*L82</x:f>
        <x:v>0.001007080078125</x:v>
      </x:c>
      <x:c r="Q82" s="19" t="n">
        <x:f>I82*L82</x:f>
        <x:v>0</x:v>
      </x:c>
      <x:c r="R82" s="19" t="n">
        <x:f>J82*L82</x:f>
        <x:v>0</x:v>
      </x:c>
      <x:c r="S82" s="19" t="n">
        <x:f>K82*L82</x:f>
        <x:v>0.004486083984375</x:v>
      </x:c>
    </x:row>
    <x:row r="83" ht="27" customHeight="1">
      <x:c r="A83" s="12" t="n">
        <x:v>1</x:v>
      </x:c>
      <x:c r="B83" s="12" t="n">
        <x:v>2</x:v>
      </x:c>
      <x:c r="C83" s="12" t="n">
        <x:v>6</x:v>
      </x:c>
      <x:c r="D83" s="12" t="n">
        <x:v>0</x:v>
      </x:c>
      <x:c r="E83" s="12" t="n">
        <x:v>252</x:v>
      </x:c>
      <x:c r="F83" s="12" t="n">
        <x:v>246</x:v>
      </x:c>
      <x:c r="G83" s="12" t="n">
        <x:v>60</x:v>
      </x:c>
      <x:c r="H83" s="12" t="n">
        <x:v>138</x:v>
      </x:c>
      <x:c r="I83" s="12" t="n">
        <x:v>48</x:v>
      </x:c>
      <x:c r="J83" s="12" t="n">
        <x:v>0</x:v>
      </x:c>
      <x:c r="K83" s="12" t="n">
        <x:v>246</x:v>
      </x:c>
      <x:c r="L83" s="18" t="n">
        <x:f>'参数'!$D$5^A83*'参数'!$D$6^B83*'参数'!$D$7^C83*'参数'!$D$8^D83</x:f>
        <x:v>0.000003814697265625</x:v>
      </x:c>
      <x:c r="M83" s="18" t="n">
        <x:f>E83*L83</x:f>
        <x:v>0.0009613037109375</x:v>
      </x:c>
      <x:c r="N83" s="18" t="n">
        <x:f>F83*L83</x:f>
        <x:v>0.00093841552734375</x:v>
      </x:c>
      <x:c r="O83" s="18" t="n">
        <x:f>G83*L83</x:f>
        <x:v>0.0002288818359375</x:v>
      </x:c>
      <x:c r="P83" s="18" t="n">
        <x:f>H83*L83</x:f>
        <x:v>0.00052642822265625</x:v>
      </x:c>
      <x:c r="Q83" s="18" t="n">
        <x:f>I83*L83</x:f>
        <x:v>0.00018310546875</x:v>
      </x:c>
      <x:c r="R83" s="18" t="n">
        <x:f>J83*L83</x:f>
        <x:v>0</x:v>
      </x:c>
      <x:c r="S83" s="18" t="n">
        <x:f>K83*L83</x:f>
        <x:v>0.00093841552734375</x:v>
      </x:c>
    </x:row>
    <x:row r="84" ht="27" customHeight="1">
      <x:c r="A84" s="13" t="n">
        <x:v>1</x:v>
      </x:c>
      <x:c r="B84" s="13" t="n">
        <x:v>3</x:v>
      </x:c>
      <x:c r="C84" s="13" t="n">
        <x:v>0</x:v>
      </x:c>
      <x:c r="D84" s="13" t="n">
        <x:v>5</x:v>
      </x:c>
      <x:c r="E84" s="13" t="n">
        <x:v>504</x:v>
      </x:c>
      <x:c r="F84" s="13" t="n">
        <x:v>404</x:v>
      </x:c>
      <x:c r="G84" s="13" t="n">
        <x:v>352</x:v>
      </x:c>
      <x:c r="H84" s="13" t="n">
        <x:v>88</x:v>
      </x:c>
      <x:c r="I84" s="13" t="n">
        <x:v>0</x:v>
      </x:c>
      <x:c r="J84" s="13" t="n">
        <x:v>0</x:v>
      </x:c>
      <x:c r="K84" s="13" t="n">
        <x:v>440</x:v>
      </x:c>
      <x:c r="L84" s="19" t="n">
        <x:f>'参数'!$D$5^A84*'参数'!$D$6^B84*'参数'!$D$7^C84*'参数'!$D$8^D84</x:f>
        <x:v>0.000003814697265625</x:v>
      </x:c>
      <x:c r="M84" s="19" t="n">
        <x:f>E84*L84</x:f>
        <x:v>0.001922607421875</x:v>
      </x:c>
      <x:c r="N84" s="19" t="n">
        <x:f>F84*L84</x:f>
        <x:v>0.0015411376953125</x:v>
      </x:c>
      <x:c r="O84" s="19" t="n">
        <x:f>G84*L84</x:f>
        <x:v>0.0013427734375</x:v>
      </x:c>
      <x:c r="P84" s="19" t="n">
        <x:f>H84*L84</x:f>
        <x:v>0.000335693359375</x:v>
      </x:c>
      <x:c r="Q84" s="19" t="n">
        <x:f>I84*L84</x:f>
        <x:v>0</x:v>
      </x:c>
      <x:c r="R84" s="19" t="n">
        <x:f>J84*L84</x:f>
        <x:v>0</x:v>
      </x:c>
      <x:c r="S84" s="19" t="n">
        <x:f>K84*L84</x:f>
        <x:v>0.001678466796875</x:v>
      </x:c>
    </x:row>
    <x:row r="85" ht="27" customHeight="1">
      <x:c r="A85" s="12" t="n">
        <x:v>1</x:v>
      </x:c>
      <x:c r="B85" s="12" t="n">
        <x:v>3</x:v>
      </x:c>
      <x:c r="C85" s="12" t="n">
        <x:v>1</x:v>
      </x:c>
      <x:c r="D85" s="12" t="n">
        <x:v>4</x:v>
      </x:c>
      <x:c r="E85" s="12" t="n">
        <x:v>2520</x:v>
      </x:c>
      <x:c r="F85" s="12" t="n">
        <x:v>1128</x:v>
      </x:c>
      <x:c r="G85" s="12" t="n">
        <x:v>1200</x:v>
      </x:c>
      <x:c r="H85" s="12" t="n">
        <x:v>0</x:v>
      </x:c>
      <x:c r="I85" s="12" t="n">
        <x:v>0</x:v>
      </x:c>
      <x:c r="J85" s="12" t="n">
        <x:v>0</x:v>
      </x:c>
      <x:c r="K85" s="12" t="n">
        <x:v>1200</x:v>
      </x:c>
      <x:c r="L85" s="18" t="n">
        <x:f>'参数'!$D$5^A85*'参数'!$D$6^B85*'参数'!$D$7^C85*'参数'!$D$8^D85</x:f>
        <x:v>0.000003814697265625</x:v>
      </x:c>
      <x:c r="M85" s="18" t="n">
        <x:f>E85*L85</x:f>
        <x:v>0.009613037109375</x:v>
      </x:c>
      <x:c r="N85" s="18" t="n">
        <x:f>F85*L85</x:f>
        <x:v>0.004302978515625</x:v>
      </x:c>
      <x:c r="O85" s="18" t="n">
        <x:f>G85*L85</x:f>
        <x:v>0.00457763671875</x:v>
      </x:c>
      <x:c r="P85" s="18" t="n">
        <x:f>H85*L85</x:f>
        <x:v>0</x:v>
      </x:c>
      <x:c r="Q85" s="18" t="n">
        <x:f>I85*L85</x:f>
        <x:v>0</x:v>
      </x:c>
      <x:c r="R85" s="18" t="n">
        <x:f>J85*L85</x:f>
        <x:v>0</x:v>
      </x:c>
      <x:c r="S85" s="18" t="n">
        <x:f>K85*L85</x:f>
        <x:v>0.00457763671875</x:v>
      </x:c>
    </x:row>
    <x:row r="86" ht="27" customHeight="1">
      <x:c r="A86" s="13" t="n">
        <x:v>1</x:v>
      </x:c>
      <x:c r="B86" s="13" t="n">
        <x:v>3</x:v>
      </x:c>
      <x:c r="C86" s="13" t="n">
        <x:v>2</x:v>
      </x:c>
      <x:c r="D86" s="13" t="n">
        <x:v>3</x:v>
      </x:c>
      <x:c r="E86" s="13" t="n">
        <x:v>5040</x:v>
      </x:c>
      <x:c r="F86" s="13" t="n">
        <x:v>924</x:v>
      </x:c>
      <x:c r="G86" s="13" t="n">
        <x:v>960</x:v>
      </x:c>
      <x:c r="H86" s="13" t="n">
        <x:v>0</x:v>
      </x:c>
      <x:c r="I86" s="13" t="n">
        <x:v>0</x:v>
      </x:c>
      <x:c r="J86" s="13" t="n">
        <x:v>0</x:v>
      </x:c>
      <x:c r="K86" s="13" t="n">
        <x:v>960</x:v>
      </x:c>
      <x:c r="L86" s="19" t="n">
        <x:f>'参数'!$D$5^A86*'参数'!$D$6^B86*'参数'!$D$7^C86*'参数'!$D$8^D86</x:f>
        <x:v>0.000003814697265625</x:v>
      </x:c>
      <x:c r="M86" s="19" t="n">
        <x:f>E86*L86</x:f>
        <x:v>0.01922607421875</x:v>
      </x:c>
      <x:c r="N86" s="19" t="n">
        <x:f>F86*L86</x:f>
        <x:v>0.0035247802734375</x:v>
      </x:c>
      <x:c r="O86" s="19" t="n">
        <x:f>G86*L86</x:f>
        <x:v>0.003662109375</x:v>
      </x:c>
      <x:c r="P86" s="19" t="n">
        <x:f>H86*L86</x:f>
        <x:v>0</x:v>
      </x:c>
      <x:c r="Q86" s="19" t="n">
        <x:f>I86*L86</x:f>
        <x:v>0</x:v>
      </x:c>
      <x:c r="R86" s="19" t="n">
        <x:f>J86*L86</x:f>
        <x:v>0</x:v>
      </x:c>
      <x:c r="S86" s="19" t="n">
        <x:f>K86*L86</x:f>
        <x:v>0.003662109375</x:v>
      </x:c>
    </x:row>
    <x:row r="87" ht="27" customHeight="1">
      <x:c r="A87" s="12" t="n">
        <x:v>1</x:v>
      </x:c>
      <x:c r="B87" s="12" t="n">
        <x:v>3</x:v>
      </x:c>
      <x:c r="C87" s="12" t="n">
        <x:v>3</x:v>
      </x:c>
      <x:c r="D87" s="12" t="n">
        <x:v>2</x:v>
      </x:c>
      <x:c r="E87" s="12" t="n">
        <x:v>5040</x:v>
      </x:c>
      <x:c r="F87" s="12" t="n">
        <x:v>924</x:v>
      </x:c>
      <x:c r="G87" s="12" t="n">
        <x:v>960</x:v>
      </x:c>
      <x:c r="H87" s="12" t="n">
        <x:v>0</x:v>
      </x:c>
      <x:c r="I87" s="12" t="n">
        <x:v>0</x:v>
      </x:c>
      <x:c r="J87" s="12" t="n">
        <x:v>0</x:v>
      </x:c>
      <x:c r="K87" s="12" t="n">
        <x:v>960</x:v>
      </x:c>
      <x:c r="L87" s="18" t="n">
        <x:f>'参数'!$D$5^A87*'参数'!$D$6^B87*'参数'!$D$7^C87*'参数'!$D$8^D87</x:f>
        <x:v>0.000003814697265625</x:v>
      </x:c>
      <x:c r="M87" s="18" t="n">
        <x:f>E87*L87</x:f>
        <x:v>0.01922607421875</x:v>
      </x:c>
      <x:c r="N87" s="18" t="n">
        <x:f>F87*L87</x:f>
        <x:v>0.0035247802734375</x:v>
      </x:c>
      <x:c r="O87" s="18" t="n">
        <x:f>G87*L87</x:f>
        <x:v>0.003662109375</x:v>
      </x:c>
      <x:c r="P87" s="18" t="n">
        <x:f>H87*L87</x:f>
        <x:v>0</x:v>
      </x:c>
      <x:c r="Q87" s="18" t="n">
        <x:f>I87*L87</x:f>
        <x:v>0</x:v>
      </x:c>
      <x:c r="R87" s="18" t="n">
        <x:f>J87*L87</x:f>
        <x:v>0</x:v>
      </x:c>
      <x:c r="S87" s="18" t="n">
        <x:f>K87*L87</x:f>
        <x:v>0.003662109375</x:v>
      </x:c>
    </x:row>
    <x:row r="88" ht="27" customHeight="1">
      <x:c r="A88" s="13" t="n">
        <x:v>1</x:v>
      </x:c>
      <x:c r="B88" s="13" t="n">
        <x:v>3</x:v>
      </x:c>
      <x:c r="C88" s="13" t="n">
        <x:v>4</x:v>
      </x:c>
      <x:c r="D88" s="13" t="n">
        <x:v>1</x:v>
      </x:c>
      <x:c r="E88" s="13" t="n">
        <x:v>2520</x:v>
      </x:c>
      <x:c r="F88" s="13" t="n">
        <x:v>1128</x:v>
      </x:c>
      <x:c r="G88" s="13" t="n">
        <x:v>1200</x:v>
      </x:c>
      <x:c r="H88" s="13" t="n">
        <x:v>0</x:v>
      </x:c>
      <x:c r="I88" s="13" t="n">
        <x:v>0</x:v>
      </x:c>
      <x:c r="J88" s="13" t="n">
        <x:v>0</x:v>
      </x:c>
      <x:c r="K88" s="13" t="n">
        <x:v>1200</x:v>
      </x:c>
      <x:c r="L88" s="19" t="n">
        <x:f>'参数'!$D$5^A88*'参数'!$D$6^B88*'参数'!$D$7^C88*'参数'!$D$8^D88</x:f>
        <x:v>0.000003814697265625</x:v>
      </x:c>
      <x:c r="M88" s="19" t="n">
        <x:f>E88*L88</x:f>
        <x:v>0.009613037109375</x:v>
      </x:c>
      <x:c r="N88" s="19" t="n">
        <x:f>F88*L88</x:f>
        <x:v>0.004302978515625</x:v>
      </x:c>
      <x:c r="O88" s="19" t="n">
        <x:f>G88*L88</x:f>
        <x:v>0.00457763671875</x:v>
      </x:c>
      <x:c r="P88" s="19" t="n">
        <x:f>H88*L88</x:f>
        <x:v>0</x:v>
      </x:c>
      <x:c r="Q88" s="19" t="n">
        <x:f>I88*L88</x:f>
        <x:v>0</x:v>
      </x:c>
      <x:c r="R88" s="19" t="n">
        <x:f>J88*L88</x:f>
        <x:v>0</x:v>
      </x:c>
      <x:c r="S88" s="19" t="n">
        <x:f>K88*L88</x:f>
        <x:v>0.00457763671875</x:v>
      </x:c>
    </x:row>
    <x:row r="89" ht="27" customHeight="1">
      <x:c r="A89" s="12" t="n">
        <x:v>1</x:v>
      </x:c>
      <x:c r="B89" s="12" t="n">
        <x:v>3</x:v>
      </x:c>
      <x:c r="C89" s="12" t="n">
        <x:v>5</x:v>
      </x:c>
      <x:c r="D89" s="12" t="n">
        <x:v>0</x:v>
      </x:c>
      <x:c r="E89" s="12" t="n">
        <x:v>504</x:v>
      </x:c>
      <x:c r="F89" s="12" t="n">
        <x:v>404</x:v>
      </x:c>
      <x:c r="G89" s="12" t="n">
        <x:v>352</x:v>
      </x:c>
      <x:c r="H89" s="12" t="n">
        <x:v>88</x:v>
      </x:c>
      <x:c r="I89" s="12" t="n">
        <x:v>0</x:v>
      </x:c>
      <x:c r="J89" s="12" t="n">
        <x:v>0</x:v>
      </x:c>
      <x:c r="K89" s="12" t="n">
        <x:v>440</x:v>
      </x:c>
      <x:c r="L89" s="18" t="n">
        <x:f>'参数'!$D$5^A89*'参数'!$D$6^B89*'参数'!$D$7^C89*'参数'!$D$8^D89</x:f>
        <x:v>0.000003814697265625</x:v>
      </x:c>
      <x:c r="M89" s="18" t="n">
        <x:f>E89*L89</x:f>
        <x:v>0.001922607421875</x:v>
      </x:c>
      <x:c r="N89" s="18" t="n">
        <x:f>F89*L89</x:f>
        <x:v>0.0015411376953125</x:v>
      </x:c>
      <x:c r="O89" s="18" t="n">
        <x:f>G89*L89</x:f>
        <x:v>0.0013427734375</x:v>
      </x:c>
      <x:c r="P89" s="18" t="n">
        <x:f>H89*L89</x:f>
        <x:v>0.000335693359375</x:v>
      </x:c>
      <x:c r="Q89" s="18" t="n">
        <x:f>I89*L89</x:f>
        <x:v>0</x:v>
      </x:c>
      <x:c r="R89" s="18" t="n">
        <x:f>J89*L89</x:f>
        <x:v>0</x:v>
      </x:c>
      <x:c r="S89" s="18" t="n">
        <x:f>K89*L89</x:f>
        <x:v>0.001678466796875</x:v>
      </x:c>
    </x:row>
    <x:row r="90" ht="27" customHeight="1">
      <x:c r="A90" s="13" t="n">
        <x:v>1</x:v>
      </x:c>
      <x:c r="B90" s="13" t="n">
        <x:v>4</x:v>
      </x:c>
      <x:c r="C90" s="13" t="n">
        <x:v>0</x:v>
      </x:c>
      <x:c r="D90" s="13" t="n">
        <x:v>4</x:v>
      </x:c>
      <x:c r="E90" s="13" t="n">
        <x:v>630</x:v>
      </x:c>
      <x:c r="F90" s="13" t="n">
        <x:v>408</x:v>
      </x:c>
      <x:c r="G90" s="13" t="n">
        <x:v>480</x:v>
      </x:c>
      <x:c r="H90" s="13" t="n">
        <x:v>0</x:v>
      </x:c>
      <x:c r="I90" s="13" t="n">
        <x:v>0</x:v>
      </x:c>
      <x:c r="J90" s="13" t="n">
        <x:v>0</x:v>
      </x:c>
      <x:c r="K90" s="13" t="n">
        <x:v>480</x:v>
      </x:c>
      <x:c r="L90" s="19" t="n">
        <x:f>'参数'!$D$5^A90*'参数'!$D$6^B90*'参数'!$D$7^C90*'参数'!$D$8^D90</x:f>
        <x:v>0.000003814697265625</x:v>
      </x:c>
      <x:c r="M90" s="19" t="n">
        <x:f>E90*L90</x:f>
        <x:v>0.00240325927734375</x:v>
      </x:c>
      <x:c r="N90" s="19" t="n">
        <x:f>F90*L90</x:f>
        <x:v>0.001556396484375</x:v>
      </x:c>
      <x:c r="O90" s="19" t="n">
        <x:f>G90*L90</x:f>
        <x:v>0.0018310546875</x:v>
      </x:c>
      <x:c r="P90" s="19" t="n">
        <x:f>H90*L90</x:f>
        <x:v>0</x:v>
      </x:c>
      <x:c r="Q90" s="19" t="n">
        <x:f>I90*L90</x:f>
        <x:v>0</x:v>
      </x:c>
      <x:c r="R90" s="19" t="n">
        <x:f>J90*L90</x:f>
        <x:v>0</x:v>
      </x:c>
      <x:c r="S90" s="19" t="n">
        <x:f>K90*L90</x:f>
        <x:v>0.0018310546875</x:v>
      </x:c>
    </x:row>
    <x:row r="91" ht="27" customHeight="1">
      <x:c r="A91" s="12" t="n">
        <x:v>1</x:v>
      </x:c>
      <x:c r="B91" s="12" t="n">
        <x:v>4</x:v>
      </x:c>
      <x:c r="C91" s="12" t="n">
        <x:v>1</x:v>
      </x:c>
      <x:c r="D91" s="12" t="n">
        <x:v>3</x:v>
      </x:c>
      <x:c r="E91" s="12" t="n">
        <x:v>2520</x:v>
      </x:c>
      <x:c r="F91" s="12" t="n">
        <x:v>1128</x:v>
      </x:c>
      <x:c r="G91" s="12" t="n">
        <x:v>1200</x:v>
      </x:c>
      <x:c r="H91" s="12" t="n">
        <x:v>0</x:v>
      </x:c>
      <x:c r="I91" s="12" t="n">
        <x:v>0</x:v>
      </x:c>
      <x:c r="J91" s="12" t="n">
        <x:v>0</x:v>
      </x:c>
      <x:c r="K91" s="12" t="n">
        <x:v>1200</x:v>
      </x:c>
      <x:c r="L91" s="18" t="n">
        <x:f>'参数'!$D$5^A91*'参数'!$D$6^B91*'参数'!$D$7^C91*'参数'!$D$8^D91</x:f>
        <x:v>0.000003814697265625</x:v>
      </x:c>
      <x:c r="M91" s="18" t="n">
        <x:f>E91*L91</x:f>
        <x:v>0.009613037109375</x:v>
      </x:c>
      <x:c r="N91" s="18" t="n">
        <x:f>F91*L91</x:f>
        <x:v>0.004302978515625</x:v>
      </x:c>
      <x:c r="O91" s="18" t="n">
        <x:f>G91*L91</x:f>
        <x:v>0.00457763671875</x:v>
      </x:c>
      <x:c r="P91" s="18" t="n">
        <x:f>H91*L91</x:f>
        <x:v>0</x:v>
      </x:c>
      <x:c r="Q91" s="18" t="n">
        <x:f>I91*L91</x:f>
        <x:v>0</x:v>
      </x:c>
      <x:c r="R91" s="18" t="n">
        <x:f>J91*L91</x:f>
        <x:v>0</x:v>
      </x:c>
      <x:c r="S91" s="18" t="n">
        <x:f>K91*L91</x:f>
        <x:v>0.00457763671875</x:v>
      </x:c>
    </x:row>
    <x:row r="92" ht="27" customHeight="1">
      <x:c r="A92" s="13" t="n">
        <x:v>1</x:v>
      </x:c>
      <x:c r="B92" s="13" t="n">
        <x:v>4</x:v>
      </x:c>
      <x:c r="C92" s="13" t="n">
        <x:v>2</x:v>
      </x:c>
      <x:c r="D92" s="13" t="n">
        <x:v>2</x:v>
      </x:c>
      <x:c r="E92" s="13" t="n">
        <x:v>3780</x:v>
      </x:c>
      <x:c r="F92" s="13" t="n">
        <x:v>1440</x:v>
      </x:c>
      <x:c r="G92" s="13" t="n">
        <x:v>1440</x:v>
      </x:c>
      <x:c r="H92" s="13" t="n">
        <x:v>0</x:v>
      </x:c>
      <x:c r="I92" s="13" t="n">
        <x:v>0</x:v>
      </x:c>
      <x:c r="J92" s="13" t="n">
        <x:v>0</x:v>
      </x:c>
      <x:c r="K92" s="13" t="n">
        <x:v>1440</x:v>
      </x:c>
      <x:c r="L92" s="19" t="n">
        <x:f>'参数'!$D$5^A92*'参数'!$D$6^B92*'参数'!$D$7^C92*'参数'!$D$8^D92</x:f>
        <x:v>0.000003814697265625</x:v>
      </x:c>
      <x:c r="M92" s="19" t="n">
        <x:f>E92*L92</x:f>
        <x:v>0.0144195556640625</x:v>
      </x:c>
      <x:c r="N92" s="19" t="n">
        <x:f>F92*L92</x:f>
        <x:v>0.0054931640625</x:v>
      </x:c>
      <x:c r="O92" s="19" t="n">
        <x:f>G92*L92</x:f>
        <x:v>0.0054931640625</x:v>
      </x:c>
      <x:c r="P92" s="19" t="n">
        <x:f>H92*L92</x:f>
        <x:v>0</x:v>
      </x:c>
      <x:c r="Q92" s="19" t="n">
        <x:f>I92*L92</x:f>
        <x:v>0</x:v>
      </x:c>
      <x:c r="R92" s="19" t="n">
        <x:f>J92*L92</x:f>
        <x:v>0</x:v>
      </x:c>
      <x:c r="S92" s="19" t="n">
        <x:f>K92*L92</x:f>
        <x:v>0.0054931640625</x:v>
      </x:c>
    </x:row>
    <x:row r="93" ht="27" customHeight="1">
      <x:c r="A93" s="12" t="n">
        <x:v>1</x:v>
      </x:c>
      <x:c r="B93" s="12" t="n">
        <x:v>4</x:v>
      </x:c>
      <x:c r="C93" s="12" t="n">
        <x:v>3</x:v>
      </x:c>
      <x:c r="D93" s="12" t="n">
        <x:v>1</x:v>
      </x:c>
      <x:c r="E93" s="12" t="n">
        <x:v>2520</x:v>
      </x:c>
      <x:c r="F93" s="12" t="n">
        <x:v>1128</x:v>
      </x:c>
      <x:c r="G93" s="12" t="n">
        <x:v>1200</x:v>
      </x:c>
      <x:c r="H93" s="12" t="n">
        <x:v>0</x:v>
      </x:c>
      <x:c r="I93" s="12" t="n">
        <x:v>0</x:v>
      </x:c>
      <x:c r="J93" s="12" t="n">
        <x:v>0</x:v>
      </x:c>
      <x:c r="K93" s="12" t="n">
        <x:v>1200</x:v>
      </x:c>
      <x:c r="L93" s="18" t="n">
        <x:f>'参数'!$D$5^A93*'参数'!$D$6^B93*'参数'!$D$7^C93*'参数'!$D$8^D93</x:f>
        <x:v>0.000003814697265625</x:v>
      </x:c>
      <x:c r="M93" s="18" t="n">
        <x:f>E93*L93</x:f>
        <x:v>0.009613037109375</x:v>
      </x:c>
      <x:c r="N93" s="18" t="n">
        <x:f>F93*L93</x:f>
        <x:v>0.004302978515625</x:v>
      </x:c>
      <x:c r="O93" s="18" t="n">
        <x:f>G93*L93</x:f>
        <x:v>0.00457763671875</x:v>
      </x:c>
      <x:c r="P93" s="18" t="n">
        <x:f>H93*L93</x:f>
        <x:v>0</x:v>
      </x:c>
      <x:c r="Q93" s="18" t="n">
        <x:f>I93*L93</x:f>
        <x:v>0</x:v>
      </x:c>
      <x:c r="R93" s="18" t="n">
        <x:f>J93*L93</x:f>
        <x:v>0</x:v>
      </x:c>
      <x:c r="S93" s="18" t="n">
        <x:f>K93*L93</x:f>
        <x:v>0.00457763671875</x:v>
      </x:c>
    </x:row>
    <x:row r="94" ht="27" customHeight="1">
      <x:c r="A94" s="13" t="n">
        <x:v>1</x:v>
      </x:c>
      <x:c r="B94" s="13" t="n">
        <x:v>4</x:v>
      </x:c>
      <x:c r="C94" s="13" t="n">
        <x:v>4</x:v>
      </x:c>
      <x:c r="D94" s="13" t="n">
        <x:v>0</x:v>
      </x:c>
      <x:c r="E94" s="13" t="n">
        <x:v>630</x:v>
      </x:c>
      <x:c r="F94" s="13" t="n">
        <x:v>408</x:v>
      </x:c>
      <x:c r="G94" s="13" t="n">
        <x:v>480</x:v>
      </x:c>
      <x:c r="H94" s="13" t="n">
        <x:v>0</x:v>
      </x:c>
      <x:c r="I94" s="13" t="n">
        <x:v>0</x:v>
      </x:c>
      <x:c r="J94" s="13" t="n">
        <x:v>0</x:v>
      </x:c>
      <x:c r="K94" s="13" t="n">
        <x:v>480</x:v>
      </x:c>
      <x:c r="L94" s="19" t="n">
        <x:f>'参数'!$D$5^A94*'参数'!$D$6^B94*'参数'!$D$7^C94*'参数'!$D$8^D94</x:f>
        <x:v>0.000003814697265625</x:v>
      </x:c>
      <x:c r="M94" s="19" t="n">
        <x:f>E94*L94</x:f>
        <x:v>0.00240325927734375</x:v>
      </x:c>
      <x:c r="N94" s="19" t="n">
        <x:f>F94*L94</x:f>
        <x:v>0.001556396484375</x:v>
      </x:c>
      <x:c r="O94" s="19" t="n">
        <x:f>G94*L94</x:f>
        <x:v>0.0018310546875</x:v>
      </x:c>
      <x:c r="P94" s="19" t="n">
        <x:f>H94*L94</x:f>
        <x:v>0</x:v>
      </x:c>
      <x:c r="Q94" s="19" t="n">
        <x:f>I94*L94</x:f>
        <x:v>0</x:v>
      </x:c>
      <x:c r="R94" s="19" t="n">
        <x:f>J94*L94</x:f>
        <x:v>0</x:v>
      </x:c>
      <x:c r="S94" s="19" t="n">
        <x:f>K94*L94</x:f>
        <x:v>0.0018310546875</x:v>
      </x:c>
    </x:row>
    <x:row r="95" ht="27" customHeight="1">
      <x:c r="A95" s="12" t="n">
        <x:v>1</x:v>
      </x:c>
      <x:c r="B95" s="12" t="n">
        <x:v>5</x:v>
      </x:c>
      <x:c r="C95" s="12" t="n">
        <x:v>0</x:v>
      </x:c>
      <x:c r="D95" s="12" t="n">
        <x:v>3</x:v>
      </x:c>
      <x:c r="E95" s="12" t="n">
        <x:v>504</x:v>
      </x:c>
      <x:c r="F95" s="12" t="n">
        <x:v>404</x:v>
      </x:c>
      <x:c r="G95" s="12" t="n">
        <x:v>352</x:v>
      </x:c>
      <x:c r="H95" s="12" t="n">
        <x:v>88</x:v>
      </x:c>
      <x:c r="I95" s="12" t="n">
        <x:v>0</x:v>
      </x:c>
      <x:c r="J95" s="12" t="n">
        <x:v>0</x:v>
      </x:c>
      <x:c r="K95" s="12" t="n">
        <x:v>440</x:v>
      </x:c>
      <x:c r="L95" s="18" t="n">
        <x:f>'参数'!$D$5^A95*'参数'!$D$6^B95*'参数'!$D$7^C95*'参数'!$D$8^D95</x:f>
        <x:v>0.000003814697265625</x:v>
      </x:c>
      <x:c r="M95" s="18" t="n">
        <x:f>E95*L95</x:f>
        <x:v>0.001922607421875</x:v>
      </x:c>
      <x:c r="N95" s="18" t="n">
        <x:f>F95*L95</x:f>
        <x:v>0.0015411376953125</x:v>
      </x:c>
      <x:c r="O95" s="18" t="n">
        <x:f>G95*L95</x:f>
        <x:v>0.0013427734375</x:v>
      </x:c>
      <x:c r="P95" s="18" t="n">
        <x:f>H95*L95</x:f>
        <x:v>0.000335693359375</x:v>
      </x:c>
      <x:c r="Q95" s="18" t="n">
        <x:f>I95*L95</x:f>
        <x:v>0</x:v>
      </x:c>
      <x:c r="R95" s="18" t="n">
        <x:f>J95*L95</x:f>
        <x:v>0</x:v>
      </x:c>
      <x:c r="S95" s="18" t="n">
        <x:f>K95*L95</x:f>
        <x:v>0.001678466796875</x:v>
      </x:c>
    </x:row>
    <x:row r="96" ht="27" customHeight="1">
      <x:c r="A96" s="13" t="n">
        <x:v>1</x:v>
      </x:c>
      <x:c r="B96" s="13" t="n">
        <x:v>5</x:v>
      </x:c>
      <x:c r="C96" s="13" t="n">
        <x:v>1</x:v>
      </x:c>
      <x:c r="D96" s="13" t="n">
        <x:v>2</x:v>
      </x:c>
      <x:c r="E96" s="13" t="n">
        <x:v>1512</x:v>
      </x:c>
      <x:c r="F96" s="13" t="n">
        <x:v>1176</x:v>
      </x:c>
      <x:c r="G96" s="13" t="n">
        <x:v>912</x:v>
      </x:c>
      <x:c r="H96" s="13" t="n">
        <x:v>264</x:v>
      </x:c>
      <x:c r="I96" s="13" t="n">
        <x:v>0</x:v>
      </x:c>
      <x:c r="J96" s="13" t="n">
        <x:v>0</x:v>
      </x:c>
      <x:c r="K96" s="13" t="n">
        <x:v>1176</x:v>
      </x:c>
      <x:c r="L96" s="19" t="n">
        <x:f>'参数'!$D$5^A96*'参数'!$D$6^B96*'参数'!$D$7^C96*'参数'!$D$8^D96</x:f>
        <x:v>0.000003814697265625</x:v>
      </x:c>
      <x:c r="M96" s="19" t="n">
        <x:f>E96*L96</x:f>
        <x:v>0.005767822265625</x:v>
      </x:c>
      <x:c r="N96" s="19" t="n">
        <x:f>F96*L96</x:f>
        <x:v>0.004486083984375</x:v>
      </x:c>
      <x:c r="O96" s="19" t="n">
        <x:f>G96*L96</x:f>
        <x:v>0.00347900390625</x:v>
      </x:c>
      <x:c r="P96" s="19" t="n">
        <x:f>H96*L96</x:f>
        <x:v>0.001007080078125</x:v>
      </x:c>
      <x:c r="Q96" s="19" t="n">
        <x:f>I96*L96</x:f>
        <x:v>0</x:v>
      </x:c>
      <x:c r="R96" s="19" t="n">
        <x:f>J96*L96</x:f>
        <x:v>0</x:v>
      </x:c>
      <x:c r="S96" s="19" t="n">
        <x:f>K96*L96</x:f>
        <x:v>0.004486083984375</x:v>
      </x:c>
    </x:row>
    <x:row r="97" ht="27" customHeight="1">
      <x:c r="A97" s="12" t="n">
        <x:v>1</x:v>
      </x:c>
      <x:c r="B97" s="12" t="n">
        <x:v>5</x:v>
      </x:c>
      <x:c r="C97" s="12" t="n">
        <x:v>2</x:v>
      </x:c>
      <x:c r="D97" s="12" t="n">
        <x:v>1</x:v>
      </x:c>
      <x:c r="E97" s="12" t="n">
        <x:v>1512</x:v>
      </x:c>
      <x:c r="F97" s="12" t="n">
        <x:v>1176</x:v>
      </x:c>
      <x:c r="G97" s="12" t="n">
        <x:v>912</x:v>
      </x:c>
      <x:c r="H97" s="12" t="n">
        <x:v>264</x:v>
      </x:c>
      <x:c r="I97" s="12" t="n">
        <x:v>0</x:v>
      </x:c>
      <x:c r="J97" s="12" t="n">
        <x:v>0</x:v>
      </x:c>
      <x:c r="K97" s="12" t="n">
        <x:v>1176</x:v>
      </x:c>
      <x:c r="L97" s="18" t="n">
        <x:f>'参数'!$D$5^A97*'参数'!$D$6^B97*'参数'!$D$7^C97*'参数'!$D$8^D97</x:f>
        <x:v>0.000003814697265625</x:v>
      </x:c>
      <x:c r="M97" s="18" t="n">
        <x:f>E97*L97</x:f>
        <x:v>0.005767822265625</x:v>
      </x:c>
      <x:c r="N97" s="18" t="n">
        <x:f>F97*L97</x:f>
        <x:v>0.004486083984375</x:v>
      </x:c>
      <x:c r="O97" s="18" t="n">
        <x:f>G97*L97</x:f>
        <x:v>0.00347900390625</x:v>
      </x:c>
      <x:c r="P97" s="18" t="n">
        <x:f>H97*L97</x:f>
        <x:v>0.001007080078125</x:v>
      </x:c>
      <x:c r="Q97" s="18" t="n">
        <x:f>I97*L97</x:f>
        <x:v>0</x:v>
      </x:c>
      <x:c r="R97" s="18" t="n">
        <x:f>J97*L97</x:f>
        <x:v>0</x:v>
      </x:c>
      <x:c r="S97" s="18" t="n">
        <x:f>K97*L97</x:f>
        <x:v>0.004486083984375</x:v>
      </x:c>
    </x:row>
    <x:row r="98" ht="27" customHeight="1">
      <x:c r="A98" s="13" t="n">
        <x:v>1</x:v>
      </x:c>
      <x:c r="B98" s="13" t="n">
        <x:v>5</x:v>
      </x:c>
      <x:c r="C98" s="13" t="n">
        <x:v>3</x:v>
      </x:c>
      <x:c r="D98" s="13" t="n">
        <x:v>0</x:v>
      </x:c>
      <x:c r="E98" s="13" t="n">
        <x:v>504</x:v>
      </x:c>
      <x:c r="F98" s="13" t="n">
        <x:v>404</x:v>
      </x:c>
      <x:c r="G98" s="13" t="n">
        <x:v>352</x:v>
      </x:c>
      <x:c r="H98" s="13" t="n">
        <x:v>88</x:v>
      </x:c>
      <x:c r="I98" s="13" t="n">
        <x:v>0</x:v>
      </x:c>
      <x:c r="J98" s="13" t="n">
        <x:v>0</x:v>
      </x:c>
      <x:c r="K98" s="13" t="n">
        <x:v>440</x:v>
      </x:c>
      <x:c r="L98" s="19" t="n">
        <x:f>'参数'!$D$5^A98*'参数'!$D$6^B98*'参数'!$D$7^C98*'参数'!$D$8^D98</x:f>
        <x:v>0.000003814697265625</x:v>
      </x:c>
      <x:c r="M98" s="19" t="n">
        <x:f>E98*L98</x:f>
        <x:v>0.001922607421875</x:v>
      </x:c>
      <x:c r="N98" s="19" t="n">
        <x:f>F98*L98</x:f>
        <x:v>0.0015411376953125</x:v>
      </x:c>
      <x:c r="O98" s="19" t="n">
        <x:f>G98*L98</x:f>
        <x:v>0.0013427734375</x:v>
      </x:c>
      <x:c r="P98" s="19" t="n">
        <x:f>H98*L98</x:f>
        <x:v>0.000335693359375</x:v>
      </x:c>
      <x:c r="Q98" s="19" t="n">
        <x:f>I98*L98</x:f>
        <x:v>0</x:v>
      </x:c>
      <x:c r="R98" s="19" t="n">
        <x:f>J98*L98</x:f>
        <x:v>0</x:v>
      </x:c>
      <x:c r="S98" s="19" t="n">
        <x:f>K98*L98</x:f>
        <x:v>0.001678466796875</x:v>
      </x:c>
    </x:row>
    <x:row r="99" ht="27" customHeight="1">
      <x:c r="A99" s="12" t="n">
        <x:v>1</x:v>
      </x:c>
      <x:c r="B99" s="12" t="n">
        <x:v>6</x:v>
      </x:c>
      <x:c r="C99" s="12" t="n">
        <x:v>0</x:v>
      </x:c>
      <x:c r="D99" s="12" t="n">
        <x:v>2</x:v>
      </x:c>
      <x:c r="E99" s="12" t="n">
        <x:v>252</x:v>
      </x:c>
      <x:c r="F99" s="12" t="n">
        <x:v>246</x:v>
      </x:c>
      <x:c r="G99" s="12" t="n">
        <x:v>60</x:v>
      </x:c>
      <x:c r="H99" s="12" t="n">
        <x:v>138</x:v>
      </x:c>
      <x:c r="I99" s="12" t="n">
        <x:v>48</x:v>
      </x:c>
      <x:c r="J99" s="12" t="n">
        <x:v>0</x:v>
      </x:c>
      <x:c r="K99" s="12" t="n">
        <x:v>246</x:v>
      </x:c>
      <x:c r="L99" s="18" t="n">
        <x:f>'参数'!$D$5^A99*'参数'!$D$6^B99*'参数'!$D$7^C99*'参数'!$D$8^D99</x:f>
        <x:v>0.000003814697265625</x:v>
      </x:c>
      <x:c r="M99" s="18" t="n">
        <x:f>E99*L99</x:f>
        <x:v>0.0009613037109375</x:v>
      </x:c>
      <x:c r="N99" s="18" t="n">
        <x:f>F99*L99</x:f>
        <x:v>0.00093841552734375</x:v>
      </x:c>
      <x:c r="O99" s="18" t="n">
        <x:f>G99*L99</x:f>
        <x:v>0.0002288818359375</x:v>
      </x:c>
      <x:c r="P99" s="18" t="n">
        <x:f>H99*L99</x:f>
        <x:v>0.00052642822265625</x:v>
      </x:c>
      <x:c r="Q99" s="18" t="n">
        <x:f>I99*L99</x:f>
        <x:v>0.00018310546875</x:v>
      </x:c>
      <x:c r="R99" s="18" t="n">
        <x:f>J99*L99</x:f>
        <x:v>0</x:v>
      </x:c>
      <x:c r="S99" s="18" t="n">
        <x:f>K99*L99</x:f>
        <x:v>0.00093841552734375</x:v>
      </x:c>
    </x:row>
    <x:row r="100" ht="27" customHeight="1">
      <x:c r="A100" s="13" t="n">
        <x:v>1</x:v>
      </x:c>
      <x:c r="B100" s="13" t="n">
        <x:v>6</x:v>
      </x:c>
      <x:c r="C100" s="13" t="n">
        <x:v>1</x:v>
      </x:c>
      <x:c r="D100" s="13" t="n">
        <x:v>1</x:v>
      </x:c>
      <x:c r="E100" s="13" t="n">
        <x:v>504</x:v>
      </x:c>
      <x:c r="F100" s="13" t="n">
        <x:v>492</x:v>
      </x:c>
      <x:c r="G100" s="13" t="n">
        <x:v>120</x:v>
      </x:c>
      <x:c r="H100" s="13" t="n">
        <x:v>276</x:v>
      </x:c>
      <x:c r="I100" s="13" t="n">
        <x:v>96</x:v>
      </x:c>
      <x:c r="J100" s="13" t="n">
        <x:v>0</x:v>
      </x:c>
      <x:c r="K100" s="13" t="n">
        <x:v>492</x:v>
      </x:c>
      <x:c r="L100" s="19" t="n">
        <x:f>'参数'!$D$5^A100*'参数'!$D$6^B100*'参数'!$D$7^C100*'参数'!$D$8^D100</x:f>
        <x:v>0.000003814697265625</x:v>
      </x:c>
      <x:c r="M100" s="19" t="n">
        <x:f>E100*L100</x:f>
        <x:v>0.001922607421875</x:v>
      </x:c>
      <x:c r="N100" s="19" t="n">
        <x:f>F100*L100</x:f>
        <x:v>0.0018768310546875</x:v>
      </x:c>
      <x:c r="O100" s="19" t="n">
        <x:f>G100*L100</x:f>
        <x:v>0.000457763671875</x:v>
      </x:c>
      <x:c r="P100" s="19" t="n">
        <x:f>H100*L100</x:f>
        <x:v>0.0010528564453125</x:v>
      </x:c>
      <x:c r="Q100" s="19" t="n">
        <x:f>I100*L100</x:f>
        <x:v>0.0003662109375</x:v>
      </x:c>
      <x:c r="R100" s="19" t="n">
        <x:f>J100*L100</x:f>
        <x:v>0</x:v>
      </x:c>
      <x:c r="S100" s="19" t="n">
        <x:f>K100*L100</x:f>
        <x:v>0.0018768310546875</x:v>
      </x:c>
    </x:row>
    <x:row r="101" ht="27" customHeight="1">
      <x:c r="A101" s="12" t="n">
        <x:v>1</x:v>
      </x:c>
      <x:c r="B101" s="12" t="n">
        <x:v>6</x:v>
      </x:c>
      <x:c r="C101" s="12" t="n">
        <x:v>2</x:v>
      </x:c>
      <x:c r="D101" s="12" t="n">
        <x:v>0</x:v>
      </x:c>
      <x:c r="E101" s="12" t="n">
        <x:v>252</x:v>
      </x:c>
      <x:c r="F101" s="12" t="n">
        <x:v>246</x:v>
      </x:c>
      <x:c r="G101" s="12" t="n">
        <x:v>60</x:v>
      </x:c>
      <x:c r="H101" s="12" t="n">
        <x:v>138</x:v>
      </x:c>
      <x:c r="I101" s="12" t="n">
        <x:v>48</x:v>
      </x:c>
      <x:c r="J101" s="12" t="n">
        <x:v>0</x:v>
      </x:c>
      <x:c r="K101" s="12" t="n">
        <x:v>246</x:v>
      </x:c>
      <x:c r="L101" s="18" t="n">
        <x:f>'参数'!$D$5^A101*'参数'!$D$6^B101*'参数'!$D$7^C101*'参数'!$D$8^D101</x:f>
        <x:v>0.000003814697265625</x:v>
      </x:c>
      <x:c r="M101" s="18" t="n">
        <x:f>E101*L101</x:f>
        <x:v>0.0009613037109375</x:v>
      </x:c>
      <x:c r="N101" s="18" t="n">
        <x:f>F101*L101</x:f>
        <x:v>0.00093841552734375</x:v>
      </x:c>
      <x:c r="O101" s="18" t="n">
        <x:f>G101*L101</x:f>
        <x:v>0.0002288818359375</x:v>
      </x:c>
      <x:c r="P101" s="18" t="n">
        <x:f>H101*L101</x:f>
        <x:v>0.00052642822265625</x:v>
      </x:c>
      <x:c r="Q101" s="18" t="n">
        <x:f>I101*L101</x:f>
        <x:v>0.00018310546875</x:v>
      </x:c>
      <x:c r="R101" s="18" t="n">
        <x:f>J101*L101</x:f>
        <x:v>0</x:v>
      </x:c>
      <x:c r="S101" s="18" t="n">
        <x:f>K101*L101</x:f>
        <x:v>0.00093841552734375</x:v>
      </x:c>
    </x:row>
    <x:row r="102" ht="27" customHeight="1">
      <x:c r="A102" s="13" t="n">
        <x:v>1</x:v>
      </x:c>
      <x:c r="B102" s="13" t="n">
        <x:v>7</x:v>
      </x:c>
      <x:c r="C102" s="13" t="n">
        <x:v>0</x:v>
      </x:c>
      <x:c r="D102" s="13" t="n">
        <x:v>1</x:v>
      </x:c>
      <x:c r="E102" s="13" t="n">
        <x:v>72</x:v>
      </x:c>
      <x:c r="F102" s="13" t="n">
        <x:v>72</x:v>
      </x:c>
      <x:c r="G102" s="13" t="n">
        <x:v>0</x:v>
      </x:c>
      <x:c r="H102" s="13" t="n">
        <x:v>8</x:v>
      </x:c>
      <x:c r="I102" s="13" t="n">
        <x:v>36</x:v>
      </x:c>
      <x:c r="J102" s="13" t="n">
        <x:v>28</x:v>
      </x:c>
      <x:c r="K102" s="13" t="n">
        <x:v>72</x:v>
      </x:c>
      <x:c r="L102" s="19" t="n">
        <x:f>'参数'!$D$5^A102*'参数'!$D$6^B102*'参数'!$D$7^C102*'参数'!$D$8^D102</x:f>
        <x:v>0.000003814697265625</x:v>
      </x:c>
      <x:c r="M102" s="19" t="n">
        <x:f>E102*L102</x:f>
        <x:v>0.000274658203125</x:v>
      </x:c>
      <x:c r="N102" s="19" t="n">
        <x:f>F102*L102</x:f>
        <x:v>0.000274658203125</x:v>
      </x:c>
      <x:c r="O102" s="19" t="n">
        <x:f>G102*L102</x:f>
        <x:v>0</x:v>
      </x:c>
      <x:c r="P102" s="19" t="n">
        <x:f>H102*L102</x:f>
        <x:v>0.000030517578125</x:v>
      </x:c>
      <x:c r="Q102" s="19" t="n">
        <x:f>I102*L102</x:f>
        <x:v>0.0001373291015625</x:v>
      </x:c>
      <x:c r="R102" s="19" t="n">
        <x:f>J102*L102</x:f>
        <x:v>0.0001068115234375</x:v>
      </x:c>
      <x:c r="S102" s="19" t="n">
        <x:f>K102*L102</x:f>
        <x:v>0.000274658203125</x:v>
      </x:c>
    </x:row>
    <x:row r="103" ht="27" customHeight="1">
      <x:c r="A103" s="12" t="n">
        <x:v>1</x:v>
      </x:c>
      <x:c r="B103" s="12" t="n">
        <x:v>7</x:v>
      </x:c>
      <x:c r="C103" s="12" t="n">
        <x:v>1</x:v>
      </x:c>
      <x:c r="D103" s="12" t="n">
        <x:v>0</x:v>
      </x:c>
      <x:c r="E103" s="12" t="n">
        <x:v>72</x:v>
      </x:c>
      <x:c r="F103" s="12" t="n">
        <x:v>72</x:v>
      </x:c>
      <x:c r="G103" s="12" t="n">
        <x:v>0</x:v>
      </x:c>
      <x:c r="H103" s="12" t="n">
        <x:v>8</x:v>
      </x:c>
      <x:c r="I103" s="12" t="n">
        <x:v>36</x:v>
      </x:c>
      <x:c r="J103" s="12" t="n">
        <x:v>28</x:v>
      </x:c>
      <x:c r="K103" s="12" t="n">
        <x:v>72</x:v>
      </x:c>
      <x:c r="L103" s="18" t="n">
        <x:f>'参数'!$D$5^A103*'参数'!$D$6^B103*'参数'!$D$7^C103*'参数'!$D$8^D103</x:f>
        <x:v>0.000003814697265625</x:v>
      </x:c>
      <x:c r="M103" s="18" t="n">
        <x:f>E103*L103</x:f>
        <x:v>0.000274658203125</x:v>
      </x:c>
      <x:c r="N103" s="18" t="n">
        <x:f>F103*L103</x:f>
        <x:v>0.000274658203125</x:v>
      </x:c>
      <x:c r="O103" s="18" t="n">
        <x:f>G103*L103</x:f>
        <x:v>0</x:v>
      </x:c>
      <x:c r="P103" s="18" t="n">
        <x:f>H103*L103</x:f>
        <x:v>0.000030517578125</x:v>
      </x:c>
      <x:c r="Q103" s="18" t="n">
        <x:f>I103*L103</x:f>
        <x:v>0.0001373291015625</x:v>
      </x:c>
      <x:c r="R103" s="18" t="n">
        <x:f>J103*L103</x:f>
        <x:v>0.0001068115234375</x:v>
      </x:c>
      <x:c r="S103" s="18" t="n">
        <x:f>K103*L103</x:f>
        <x:v>0.000274658203125</x:v>
      </x:c>
    </x:row>
    <x:row r="104" ht="27" customHeight="1">
      <x:c r="A104" s="13" t="n">
        <x:v>1</x:v>
      </x:c>
      <x:c r="B104" s="13" t="n">
        <x:v>8</x:v>
      </x:c>
      <x:c r="C104" s="13" t="n">
        <x:v>0</x:v>
      </x:c>
      <x:c r="D104" s="13" t="n">
        <x:v>0</x:v>
      </x:c>
      <x:c r="E104" s="13" t="n">
        <x:v>9</x:v>
      </x:c>
      <x:c r="F104" s="13" t="n">
        <x:v>9</x:v>
      </x:c>
      <x:c r="G104" s="13" t="n">
        <x:v>0</x:v>
      </x:c>
      <x:c r="H104" s="13" t="n">
        <x:v>0</x:v>
      </x:c>
      <x:c r="I104" s="13" t="n">
        <x:v>0</x:v>
      </x:c>
      <x:c r="J104" s="13" t="n">
        <x:v>9</x:v>
      </x:c>
      <x:c r="K104" s="13" t="n">
        <x:v>9</x:v>
      </x:c>
      <x:c r="L104" s="19" t="n">
        <x:f>'参数'!$D$5^A104*'参数'!$D$6^B104*'参数'!$D$7^C104*'参数'!$D$8^D104</x:f>
        <x:v>0.000003814697265625</x:v>
      </x:c>
      <x:c r="M104" s="19" t="n">
        <x:f>E104*L104</x:f>
        <x:v>0.000034332275390625</x:v>
      </x:c>
      <x:c r="N104" s="19" t="n">
        <x:f>F104*L104</x:f>
        <x:v>0.000034332275390625</x:v>
      </x:c>
      <x:c r="O104" s="19" t="n">
        <x:f>G104*L104</x:f>
        <x:v>0</x:v>
      </x:c>
      <x:c r="P104" s="19" t="n">
        <x:f>H104*L104</x:f>
        <x:v>0</x:v>
      </x:c>
      <x:c r="Q104" s="19" t="n">
        <x:f>I104*L104</x:f>
        <x:v>0</x:v>
      </x:c>
      <x:c r="R104" s="19" t="n">
        <x:f>J104*L104</x:f>
        <x:v>0.000034332275390625</x:v>
      </x:c>
      <x:c r="S104" s="19" t="n">
        <x:f>K104*L104</x:f>
        <x:v>0.000034332275390625</x:v>
      </x:c>
    </x:row>
    <x:row r="105" ht="27" customHeight="1">
      <x:c r="A105" s="12" t="n">
        <x:v>2</x:v>
      </x:c>
      <x:c r="B105" s="12" t="n">
        <x:v>0</x:v>
      </x:c>
      <x:c r="C105" s="12" t="n">
        <x:v>0</x:v>
      </x:c>
      <x:c r="D105" s="12" t="n">
        <x:v>7</x:v>
      </x:c>
      <x:c r="E105" s="12" t="n">
        <x:v>36</x:v>
      </x:c>
      <x:c r="F105" s="12" t="n">
        <x:v>36</x:v>
      </x:c>
      <x:c r="G105" s="12" t="n">
        <x:v>0</x:v>
      </x:c>
      <x:c r="H105" s="12" t="n">
        <x:v>4</x:v>
      </x:c>
      <x:c r="I105" s="12" t="n">
        <x:v>18</x:v>
      </x:c>
      <x:c r="J105" s="12" t="n">
        <x:v>14</x:v>
      </x:c>
      <x:c r="K105" s="12" t="n">
        <x:v>36</x:v>
      </x:c>
      <x:c r="L105" s="18" t="n">
        <x:f>'参数'!$D$5^A105*'参数'!$D$6^B105*'参数'!$D$7^C105*'参数'!$D$8^D105</x:f>
        <x:v>0.000003814697265625</x:v>
      </x:c>
      <x:c r="M105" s="18" t="n">
        <x:f>E105*L105</x:f>
        <x:v>0.0001373291015625</x:v>
      </x:c>
      <x:c r="N105" s="18" t="n">
        <x:f>F105*L105</x:f>
        <x:v>0.0001373291015625</x:v>
      </x:c>
      <x:c r="O105" s="18" t="n">
        <x:f>G105*L105</x:f>
        <x:v>0</x:v>
      </x:c>
      <x:c r="P105" s="18" t="n">
        <x:f>H105*L105</x:f>
        <x:v>0.0000152587890625</x:v>
      </x:c>
      <x:c r="Q105" s="18" t="n">
        <x:f>I105*L105</x:f>
        <x:v>0.00006866455078125</x:v>
      </x:c>
      <x:c r="R105" s="18" t="n">
        <x:f>J105*L105</x:f>
        <x:v>0.00005340576171875</x:v>
      </x:c>
      <x:c r="S105" s="18" t="n">
        <x:f>K105*L105</x:f>
        <x:v>0.0001373291015625</x:v>
      </x:c>
    </x:row>
    <x:row r="106" ht="27" customHeight="1">
      <x:c r="A106" s="13" t="n">
        <x:v>2</x:v>
      </x:c>
      <x:c r="B106" s="13" t="n">
        <x:v>0</x:v>
      </x:c>
      <x:c r="C106" s="13" t="n">
        <x:v>1</x:v>
      </x:c>
      <x:c r="D106" s="13" t="n">
        <x:v>6</x:v>
      </x:c>
      <x:c r="E106" s="13" t="n">
        <x:v>252</x:v>
      </x:c>
      <x:c r="F106" s="13" t="n">
        <x:v>246</x:v>
      </x:c>
      <x:c r="G106" s="13" t="n">
        <x:v>60</x:v>
      </x:c>
      <x:c r="H106" s="13" t="n">
        <x:v>138</x:v>
      </x:c>
      <x:c r="I106" s="13" t="n">
        <x:v>48</x:v>
      </x:c>
      <x:c r="J106" s="13" t="n">
        <x:v>0</x:v>
      </x:c>
      <x:c r="K106" s="13" t="n">
        <x:v>246</x:v>
      </x:c>
      <x:c r="L106" s="19" t="n">
        <x:f>'参数'!$D$5^A106*'参数'!$D$6^B106*'参数'!$D$7^C106*'参数'!$D$8^D106</x:f>
        <x:v>0.000003814697265625</x:v>
      </x:c>
      <x:c r="M106" s="19" t="n">
        <x:f>E106*L106</x:f>
        <x:v>0.0009613037109375</x:v>
      </x:c>
      <x:c r="N106" s="19" t="n">
        <x:f>F106*L106</x:f>
        <x:v>0.00093841552734375</x:v>
      </x:c>
      <x:c r="O106" s="19" t="n">
        <x:f>G106*L106</x:f>
        <x:v>0.0002288818359375</x:v>
      </x:c>
      <x:c r="P106" s="19" t="n">
        <x:f>H106*L106</x:f>
        <x:v>0.00052642822265625</x:v>
      </x:c>
      <x:c r="Q106" s="19" t="n">
        <x:f>I106*L106</x:f>
        <x:v>0.00018310546875</x:v>
      </x:c>
      <x:c r="R106" s="19" t="n">
        <x:f>J106*L106</x:f>
        <x:v>0</x:v>
      </x:c>
      <x:c r="S106" s="19" t="n">
        <x:f>K106*L106</x:f>
        <x:v>0.00093841552734375</x:v>
      </x:c>
    </x:row>
    <x:row r="107" ht="27" customHeight="1">
      <x:c r="A107" s="12" t="n">
        <x:v>2</x:v>
      </x:c>
      <x:c r="B107" s="12" t="n">
        <x:v>0</x:v>
      </x:c>
      <x:c r="C107" s="12" t="n">
        <x:v>2</x:v>
      </x:c>
      <x:c r="D107" s="12" t="n">
        <x:v>5</x:v>
      </x:c>
      <x:c r="E107" s="12" t="n">
        <x:v>756</x:v>
      </x:c>
      <x:c r="F107" s="12" t="n">
        <x:v>588</x:v>
      </x:c>
      <x:c r="G107" s="12" t="n">
        <x:v>456</x:v>
      </x:c>
      <x:c r="H107" s="12" t="n">
        <x:v>132</x:v>
      </x:c>
      <x:c r="I107" s="12" t="n">
        <x:v>0</x:v>
      </x:c>
      <x:c r="J107" s="12" t="n">
        <x:v>0</x:v>
      </x:c>
      <x:c r="K107" s="12" t="n">
        <x:v>588</x:v>
      </x:c>
      <x:c r="L107" s="18" t="n">
        <x:f>'参数'!$D$5^A107*'参数'!$D$6^B107*'参数'!$D$7^C107*'参数'!$D$8^D107</x:f>
        <x:v>0.000003814697265625</x:v>
      </x:c>
      <x:c r="M107" s="18" t="n">
        <x:f>E107*L107</x:f>
        <x:v>0.0028839111328125</x:v>
      </x:c>
      <x:c r="N107" s="18" t="n">
        <x:f>F107*L107</x:f>
        <x:v>0.0022430419921875</x:v>
      </x:c>
      <x:c r="O107" s="18" t="n">
        <x:f>G107*L107</x:f>
        <x:v>0.001739501953125</x:v>
      </x:c>
      <x:c r="P107" s="18" t="n">
        <x:f>H107*L107</x:f>
        <x:v>0.0005035400390625</x:v>
      </x:c>
      <x:c r="Q107" s="18" t="n">
        <x:f>I107*L107</x:f>
        <x:v>0</x:v>
      </x:c>
      <x:c r="R107" s="18" t="n">
        <x:f>J107*L107</x:f>
        <x:v>0</x:v>
      </x:c>
      <x:c r="S107" s="18" t="n">
        <x:f>K107*L107</x:f>
        <x:v>0.0022430419921875</x:v>
      </x:c>
    </x:row>
    <x:row r="108" ht="27" customHeight="1">
      <x:c r="A108" s="13" t="n">
        <x:v>2</x:v>
      </x:c>
      <x:c r="B108" s="13" t="n">
        <x:v>0</x:v>
      </x:c>
      <x:c r="C108" s="13" t="n">
        <x:v>3</x:v>
      </x:c>
      <x:c r="D108" s="13" t="n">
        <x:v>4</x:v>
      </x:c>
      <x:c r="E108" s="13" t="n">
        <x:v>1260</x:v>
      </x:c>
      <x:c r="F108" s="13" t="n">
        <x:v>564</x:v>
      </x:c>
      <x:c r="G108" s="13" t="n">
        <x:v>600</x:v>
      </x:c>
      <x:c r="H108" s="13" t="n">
        <x:v>0</x:v>
      </x:c>
      <x:c r="I108" s="13" t="n">
        <x:v>0</x:v>
      </x:c>
      <x:c r="J108" s="13" t="n">
        <x:v>0</x:v>
      </x:c>
      <x:c r="K108" s="13" t="n">
        <x:v>600</x:v>
      </x:c>
      <x:c r="L108" s="19" t="n">
        <x:f>'参数'!$D$5^A108*'参数'!$D$6^B108*'参数'!$D$7^C108*'参数'!$D$8^D108</x:f>
        <x:v>0.000003814697265625</x:v>
      </x:c>
      <x:c r="M108" s="19" t="n">
        <x:f>E108*L108</x:f>
        <x:v>0.0048065185546875</x:v>
      </x:c>
      <x:c r="N108" s="19" t="n">
        <x:f>F108*L108</x:f>
        <x:v>0.0021514892578125</x:v>
      </x:c>
      <x:c r="O108" s="19" t="n">
        <x:f>G108*L108</x:f>
        <x:v>0.002288818359375</x:v>
      </x:c>
      <x:c r="P108" s="19" t="n">
        <x:f>H108*L108</x:f>
        <x:v>0</x:v>
      </x:c>
      <x:c r="Q108" s="19" t="n">
        <x:f>I108*L108</x:f>
        <x:v>0</x:v>
      </x:c>
      <x:c r="R108" s="19" t="n">
        <x:f>J108*L108</x:f>
        <x:v>0</x:v>
      </x:c>
      <x:c r="S108" s="19" t="n">
        <x:f>K108*L108</x:f>
        <x:v>0.002288818359375</x:v>
      </x:c>
    </x:row>
    <x:row r="109" ht="27" customHeight="1">
      <x:c r="A109" s="12" t="n">
        <x:v>2</x:v>
      </x:c>
      <x:c r="B109" s="12" t="n">
        <x:v>0</x:v>
      </x:c>
      <x:c r="C109" s="12" t="n">
        <x:v>4</x:v>
      </x:c>
      <x:c r="D109" s="12" t="n">
        <x:v>3</x:v>
      </x:c>
      <x:c r="E109" s="12" t="n">
        <x:v>1260</x:v>
      </x:c>
      <x:c r="F109" s="12" t="n">
        <x:v>564</x:v>
      </x:c>
      <x:c r="G109" s="12" t="n">
        <x:v>600</x:v>
      </x:c>
      <x:c r="H109" s="12" t="n">
        <x:v>0</x:v>
      </x:c>
      <x:c r="I109" s="12" t="n">
        <x:v>0</x:v>
      </x:c>
      <x:c r="J109" s="12" t="n">
        <x:v>0</x:v>
      </x:c>
      <x:c r="K109" s="12" t="n">
        <x:v>600</x:v>
      </x:c>
      <x:c r="L109" s="18" t="n">
        <x:f>'参数'!$D$5^A109*'参数'!$D$6^B109*'参数'!$D$7^C109*'参数'!$D$8^D109</x:f>
        <x:v>0.000003814697265625</x:v>
      </x:c>
      <x:c r="M109" s="18" t="n">
        <x:f>E109*L109</x:f>
        <x:v>0.0048065185546875</x:v>
      </x:c>
      <x:c r="N109" s="18" t="n">
        <x:f>F109*L109</x:f>
        <x:v>0.0021514892578125</x:v>
      </x:c>
      <x:c r="O109" s="18" t="n">
        <x:f>G109*L109</x:f>
        <x:v>0.002288818359375</x:v>
      </x:c>
      <x:c r="P109" s="18" t="n">
        <x:f>H109*L109</x:f>
        <x:v>0</x:v>
      </x:c>
      <x:c r="Q109" s="18" t="n">
        <x:f>I109*L109</x:f>
        <x:v>0</x:v>
      </x:c>
      <x:c r="R109" s="18" t="n">
        <x:f>J109*L109</x:f>
        <x:v>0</x:v>
      </x:c>
      <x:c r="S109" s="18" t="n">
        <x:f>K109*L109</x:f>
        <x:v>0.002288818359375</x:v>
      </x:c>
    </x:row>
    <x:row r="110" ht="27" customHeight="1">
      <x:c r="A110" s="13" t="n">
        <x:v>2</x:v>
      </x:c>
      <x:c r="B110" s="13" t="n">
        <x:v>0</x:v>
      </x:c>
      <x:c r="C110" s="13" t="n">
        <x:v>5</x:v>
      </x:c>
      <x:c r="D110" s="13" t="n">
        <x:v>2</x:v>
      </x:c>
      <x:c r="E110" s="13" t="n">
        <x:v>756</x:v>
      </x:c>
      <x:c r="F110" s="13" t="n">
        <x:v>588</x:v>
      </x:c>
      <x:c r="G110" s="13" t="n">
        <x:v>456</x:v>
      </x:c>
      <x:c r="H110" s="13" t="n">
        <x:v>132</x:v>
      </x:c>
      <x:c r="I110" s="13" t="n">
        <x:v>0</x:v>
      </x:c>
      <x:c r="J110" s="13" t="n">
        <x:v>0</x:v>
      </x:c>
      <x:c r="K110" s="13" t="n">
        <x:v>588</x:v>
      </x:c>
      <x:c r="L110" s="19" t="n">
        <x:f>'参数'!$D$5^A110*'参数'!$D$6^B110*'参数'!$D$7^C110*'参数'!$D$8^D110</x:f>
        <x:v>0.000003814697265625</x:v>
      </x:c>
      <x:c r="M110" s="19" t="n">
        <x:f>E110*L110</x:f>
        <x:v>0.0028839111328125</x:v>
      </x:c>
      <x:c r="N110" s="19" t="n">
        <x:f>F110*L110</x:f>
        <x:v>0.0022430419921875</x:v>
      </x:c>
      <x:c r="O110" s="19" t="n">
        <x:f>G110*L110</x:f>
        <x:v>0.001739501953125</x:v>
      </x:c>
      <x:c r="P110" s="19" t="n">
        <x:f>H110*L110</x:f>
        <x:v>0.0005035400390625</x:v>
      </x:c>
      <x:c r="Q110" s="19" t="n">
        <x:f>I110*L110</x:f>
        <x:v>0</x:v>
      </x:c>
      <x:c r="R110" s="19" t="n">
        <x:f>J110*L110</x:f>
        <x:v>0</x:v>
      </x:c>
      <x:c r="S110" s="19" t="n">
        <x:f>K110*L110</x:f>
        <x:v>0.0022430419921875</x:v>
      </x:c>
    </x:row>
    <x:row r="111" ht="27" customHeight="1">
      <x:c r="A111" s="12" t="n">
        <x:v>2</x:v>
      </x:c>
      <x:c r="B111" s="12" t="n">
        <x:v>0</x:v>
      </x:c>
      <x:c r="C111" s="12" t="n">
        <x:v>6</x:v>
      </x:c>
      <x:c r="D111" s="12" t="n">
        <x:v>1</x:v>
      </x:c>
      <x:c r="E111" s="12" t="n">
        <x:v>252</x:v>
      </x:c>
      <x:c r="F111" s="12" t="n">
        <x:v>246</x:v>
      </x:c>
      <x:c r="G111" s="12" t="n">
        <x:v>60</x:v>
      </x:c>
      <x:c r="H111" s="12" t="n">
        <x:v>138</x:v>
      </x:c>
      <x:c r="I111" s="12" t="n">
        <x:v>48</x:v>
      </x:c>
      <x:c r="J111" s="12" t="n">
        <x:v>0</x:v>
      </x:c>
      <x:c r="K111" s="12" t="n">
        <x:v>246</x:v>
      </x:c>
      <x:c r="L111" s="18" t="n">
        <x:f>'参数'!$D$5^A111*'参数'!$D$6^B111*'参数'!$D$7^C111*'参数'!$D$8^D111</x:f>
        <x:v>0.000003814697265625</x:v>
      </x:c>
      <x:c r="M111" s="18" t="n">
        <x:f>E111*L111</x:f>
        <x:v>0.0009613037109375</x:v>
      </x:c>
      <x:c r="N111" s="18" t="n">
        <x:f>F111*L111</x:f>
        <x:v>0.00093841552734375</x:v>
      </x:c>
      <x:c r="O111" s="18" t="n">
        <x:f>G111*L111</x:f>
        <x:v>0.0002288818359375</x:v>
      </x:c>
      <x:c r="P111" s="18" t="n">
        <x:f>H111*L111</x:f>
        <x:v>0.00052642822265625</x:v>
      </x:c>
      <x:c r="Q111" s="18" t="n">
        <x:f>I111*L111</x:f>
        <x:v>0.00018310546875</x:v>
      </x:c>
      <x:c r="R111" s="18" t="n">
        <x:f>J111*L111</x:f>
        <x:v>0</x:v>
      </x:c>
      <x:c r="S111" s="18" t="n">
        <x:f>K111*L111</x:f>
        <x:v>0.00093841552734375</x:v>
      </x:c>
    </x:row>
    <x:row r="112" ht="27" customHeight="1">
      <x:c r="A112" s="13" t="n">
        <x:v>2</x:v>
      </x:c>
      <x:c r="B112" s="13" t="n">
        <x:v>0</x:v>
      </x:c>
      <x:c r="C112" s="13" t="n">
        <x:v>7</x:v>
      </x:c>
      <x:c r="D112" s="13" t="n">
        <x:v>0</x:v>
      </x:c>
      <x:c r="E112" s="13" t="n">
        <x:v>36</x:v>
      </x:c>
      <x:c r="F112" s="13" t="n">
        <x:v>36</x:v>
      </x:c>
      <x:c r="G112" s="13" t="n">
        <x:v>0</x:v>
      </x:c>
      <x:c r="H112" s="13" t="n">
        <x:v>4</x:v>
      </x:c>
      <x:c r="I112" s="13" t="n">
        <x:v>18</x:v>
      </x:c>
      <x:c r="J112" s="13" t="n">
        <x:v>14</x:v>
      </x:c>
      <x:c r="K112" s="13" t="n">
        <x:v>36</x:v>
      </x:c>
      <x:c r="L112" s="19" t="n">
        <x:f>'参数'!$D$5^A112*'参数'!$D$6^B112*'参数'!$D$7^C112*'参数'!$D$8^D112</x:f>
        <x:v>0.000003814697265625</x:v>
      </x:c>
      <x:c r="M112" s="19" t="n">
        <x:f>E112*L112</x:f>
        <x:v>0.0001373291015625</x:v>
      </x:c>
      <x:c r="N112" s="19" t="n">
        <x:f>F112*L112</x:f>
        <x:v>0.0001373291015625</x:v>
      </x:c>
      <x:c r="O112" s="19" t="n">
        <x:f>G112*L112</x:f>
        <x:v>0</x:v>
      </x:c>
      <x:c r="P112" s="19" t="n">
        <x:f>H112*L112</x:f>
        <x:v>0.0000152587890625</x:v>
      </x:c>
      <x:c r="Q112" s="19" t="n">
        <x:f>I112*L112</x:f>
        <x:v>0.00006866455078125</x:v>
      </x:c>
      <x:c r="R112" s="19" t="n">
        <x:f>J112*L112</x:f>
        <x:v>0.00005340576171875</x:v>
      </x:c>
      <x:c r="S112" s="19" t="n">
        <x:f>K112*L112</x:f>
        <x:v>0.0001373291015625</x:v>
      </x:c>
    </x:row>
    <x:row r="113" ht="27" customHeight="1">
      <x:c r="A113" s="12" t="n">
        <x:v>2</x:v>
      </x:c>
      <x:c r="B113" s="12" t="n">
        <x:v>1</x:v>
      </x:c>
      <x:c r="C113" s="12" t="n">
        <x:v>0</x:v>
      </x:c>
      <x:c r="D113" s="12" t="n">
        <x:v>6</x:v>
      </x:c>
      <x:c r="E113" s="12" t="n">
        <x:v>252</x:v>
      </x:c>
      <x:c r="F113" s="12" t="n">
        <x:v>246</x:v>
      </x:c>
      <x:c r="G113" s="12" t="n">
        <x:v>60</x:v>
      </x:c>
      <x:c r="H113" s="12" t="n">
        <x:v>138</x:v>
      </x:c>
      <x:c r="I113" s="12" t="n">
        <x:v>48</x:v>
      </x:c>
      <x:c r="J113" s="12" t="n">
        <x:v>0</x:v>
      </x:c>
      <x:c r="K113" s="12" t="n">
        <x:v>246</x:v>
      </x:c>
      <x:c r="L113" s="18" t="n">
        <x:f>'参数'!$D$5^A113*'参数'!$D$6^B113*'参数'!$D$7^C113*'参数'!$D$8^D113</x:f>
        <x:v>0.000003814697265625</x:v>
      </x:c>
      <x:c r="M113" s="18" t="n">
        <x:f>E113*L113</x:f>
        <x:v>0.0009613037109375</x:v>
      </x:c>
      <x:c r="N113" s="18" t="n">
        <x:f>F113*L113</x:f>
        <x:v>0.00093841552734375</x:v>
      </x:c>
      <x:c r="O113" s="18" t="n">
        <x:f>G113*L113</x:f>
        <x:v>0.0002288818359375</x:v>
      </x:c>
      <x:c r="P113" s="18" t="n">
        <x:f>H113*L113</x:f>
        <x:v>0.00052642822265625</x:v>
      </x:c>
      <x:c r="Q113" s="18" t="n">
        <x:f>I113*L113</x:f>
        <x:v>0.00018310546875</x:v>
      </x:c>
      <x:c r="R113" s="18" t="n">
        <x:f>J113*L113</x:f>
        <x:v>0</x:v>
      </x:c>
      <x:c r="S113" s="18" t="n">
        <x:f>K113*L113</x:f>
        <x:v>0.00093841552734375</x:v>
      </x:c>
    </x:row>
    <x:row r="114" ht="27" customHeight="1">
      <x:c r="A114" s="13" t="n">
        <x:v>2</x:v>
      </x:c>
      <x:c r="B114" s="13" t="n">
        <x:v>1</x:v>
      </x:c>
      <x:c r="C114" s="13" t="n">
        <x:v>1</x:v>
      </x:c>
      <x:c r="D114" s="13" t="n">
        <x:v>5</x:v>
      </x:c>
      <x:c r="E114" s="13" t="n">
        <x:v>1512</x:v>
      </x:c>
      <x:c r="F114" s="13" t="n">
        <x:v>1176</x:v>
      </x:c>
      <x:c r="G114" s="13" t="n">
        <x:v>912</x:v>
      </x:c>
      <x:c r="H114" s="13" t="n">
        <x:v>264</x:v>
      </x:c>
      <x:c r="I114" s="13" t="n">
        <x:v>0</x:v>
      </x:c>
      <x:c r="J114" s="13" t="n">
        <x:v>0</x:v>
      </x:c>
      <x:c r="K114" s="13" t="n">
        <x:v>1176</x:v>
      </x:c>
      <x:c r="L114" s="19" t="n">
        <x:f>'参数'!$D$5^A114*'参数'!$D$6^B114*'参数'!$D$7^C114*'参数'!$D$8^D114</x:f>
        <x:v>0.000003814697265625</x:v>
      </x:c>
      <x:c r="M114" s="19" t="n">
        <x:f>E114*L114</x:f>
        <x:v>0.005767822265625</x:v>
      </x:c>
      <x:c r="N114" s="19" t="n">
        <x:f>F114*L114</x:f>
        <x:v>0.004486083984375</x:v>
      </x:c>
      <x:c r="O114" s="19" t="n">
        <x:f>G114*L114</x:f>
        <x:v>0.00347900390625</x:v>
      </x:c>
      <x:c r="P114" s="19" t="n">
        <x:f>H114*L114</x:f>
        <x:v>0.001007080078125</x:v>
      </x:c>
      <x:c r="Q114" s="19" t="n">
        <x:f>I114*L114</x:f>
        <x:v>0</x:v>
      </x:c>
      <x:c r="R114" s="19" t="n">
        <x:f>J114*L114</x:f>
        <x:v>0</x:v>
      </x:c>
      <x:c r="S114" s="19" t="n">
        <x:f>K114*L114</x:f>
        <x:v>0.004486083984375</x:v>
      </x:c>
    </x:row>
    <x:row r="115" ht="27" customHeight="1">
      <x:c r="A115" s="12" t="n">
        <x:v>2</x:v>
      </x:c>
      <x:c r="B115" s="12" t="n">
        <x:v>1</x:v>
      </x:c>
      <x:c r="C115" s="12" t="n">
        <x:v>2</x:v>
      </x:c>
      <x:c r="D115" s="12" t="n">
        <x:v>4</x:v>
      </x:c>
      <x:c r="E115" s="12" t="n">
        <x:v>3780</x:v>
      </x:c>
      <x:c r="F115" s="12" t="n">
        <x:v>1440</x:v>
      </x:c>
      <x:c r="G115" s="12" t="n">
        <x:v>1440</x:v>
      </x:c>
      <x:c r="H115" s="12" t="n">
        <x:v>0</x:v>
      </x:c>
      <x:c r="I115" s="12" t="n">
        <x:v>0</x:v>
      </x:c>
      <x:c r="J115" s="12" t="n">
        <x:v>0</x:v>
      </x:c>
      <x:c r="K115" s="12" t="n">
        <x:v>1440</x:v>
      </x:c>
      <x:c r="L115" s="18" t="n">
        <x:f>'参数'!$D$5^A115*'参数'!$D$6^B115*'参数'!$D$7^C115*'参数'!$D$8^D115</x:f>
        <x:v>0.000003814697265625</x:v>
      </x:c>
      <x:c r="M115" s="18" t="n">
        <x:f>E115*L115</x:f>
        <x:v>0.0144195556640625</x:v>
      </x:c>
      <x:c r="N115" s="18" t="n">
        <x:f>F115*L115</x:f>
        <x:v>0.0054931640625</x:v>
      </x:c>
      <x:c r="O115" s="18" t="n">
        <x:f>G115*L115</x:f>
        <x:v>0.0054931640625</x:v>
      </x:c>
      <x:c r="P115" s="18" t="n">
        <x:f>H115*L115</x:f>
        <x:v>0</x:v>
      </x:c>
      <x:c r="Q115" s="18" t="n">
        <x:f>I115*L115</x:f>
        <x:v>0</x:v>
      </x:c>
      <x:c r="R115" s="18" t="n">
        <x:f>J115*L115</x:f>
        <x:v>0</x:v>
      </x:c>
      <x:c r="S115" s="18" t="n">
        <x:f>K115*L115</x:f>
        <x:v>0.0054931640625</x:v>
      </x:c>
    </x:row>
    <x:row r="116" ht="27" customHeight="1">
      <x:c r="A116" s="13" t="n">
        <x:v>2</x:v>
      </x:c>
      <x:c r="B116" s="13" t="n">
        <x:v>1</x:v>
      </x:c>
      <x:c r="C116" s="13" t="n">
        <x:v>3</x:v>
      </x:c>
      <x:c r="D116" s="13" t="n">
        <x:v>3</x:v>
      </x:c>
      <x:c r="E116" s="13" t="n">
        <x:v>5040</x:v>
      </x:c>
      <x:c r="F116" s="13" t="n">
        <x:v>924</x:v>
      </x:c>
      <x:c r="G116" s="13" t="n">
        <x:v>960</x:v>
      </x:c>
      <x:c r="H116" s="13" t="n">
        <x:v>0</x:v>
      </x:c>
      <x:c r="I116" s="13" t="n">
        <x:v>0</x:v>
      </x:c>
      <x:c r="J116" s="13" t="n">
        <x:v>0</x:v>
      </x:c>
      <x:c r="K116" s="13" t="n">
        <x:v>960</x:v>
      </x:c>
      <x:c r="L116" s="19" t="n">
        <x:f>'参数'!$D$5^A116*'参数'!$D$6^B116*'参数'!$D$7^C116*'参数'!$D$8^D116</x:f>
        <x:v>0.000003814697265625</x:v>
      </x:c>
      <x:c r="M116" s="19" t="n">
        <x:f>E116*L116</x:f>
        <x:v>0.01922607421875</x:v>
      </x:c>
      <x:c r="N116" s="19" t="n">
        <x:f>F116*L116</x:f>
        <x:v>0.0035247802734375</x:v>
      </x:c>
      <x:c r="O116" s="19" t="n">
        <x:f>G116*L116</x:f>
        <x:v>0.003662109375</x:v>
      </x:c>
      <x:c r="P116" s="19" t="n">
        <x:f>H116*L116</x:f>
        <x:v>0</x:v>
      </x:c>
      <x:c r="Q116" s="19" t="n">
        <x:f>I116*L116</x:f>
        <x:v>0</x:v>
      </x:c>
      <x:c r="R116" s="19" t="n">
        <x:f>J116*L116</x:f>
        <x:v>0</x:v>
      </x:c>
      <x:c r="S116" s="19" t="n">
        <x:f>K116*L116</x:f>
        <x:v>0.003662109375</x:v>
      </x:c>
    </x:row>
    <x:row r="117" ht="27" customHeight="1">
      <x:c r="A117" s="12" t="n">
        <x:v>2</x:v>
      </x:c>
      <x:c r="B117" s="12" t="n">
        <x:v>1</x:v>
      </x:c>
      <x:c r="C117" s="12" t="n">
        <x:v>4</x:v>
      </x:c>
      <x:c r="D117" s="12" t="n">
        <x:v>2</x:v>
      </x:c>
      <x:c r="E117" s="12" t="n">
        <x:v>3780</x:v>
      </x:c>
      <x:c r="F117" s="12" t="n">
        <x:v>1440</x:v>
      </x:c>
      <x:c r="G117" s="12" t="n">
        <x:v>1440</x:v>
      </x:c>
      <x:c r="H117" s="12" t="n">
        <x:v>0</x:v>
      </x:c>
      <x:c r="I117" s="12" t="n">
        <x:v>0</x:v>
      </x:c>
      <x:c r="J117" s="12" t="n">
        <x:v>0</x:v>
      </x:c>
      <x:c r="K117" s="12" t="n">
        <x:v>1440</x:v>
      </x:c>
      <x:c r="L117" s="18" t="n">
        <x:f>'参数'!$D$5^A117*'参数'!$D$6^B117*'参数'!$D$7^C117*'参数'!$D$8^D117</x:f>
        <x:v>0.000003814697265625</x:v>
      </x:c>
      <x:c r="M117" s="18" t="n">
        <x:f>E117*L117</x:f>
        <x:v>0.0144195556640625</x:v>
      </x:c>
      <x:c r="N117" s="18" t="n">
        <x:f>F117*L117</x:f>
        <x:v>0.0054931640625</x:v>
      </x:c>
      <x:c r="O117" s="18" t="n">
        <x:f>G117*L117</x:f>
        <x:v>0.0054931640625</x:v>
      </x:c>
      <x:c r="P117" s="18" t="n">
        <x:f>H117*L117</x:f>
        <x:v>0</x:v>
      </x:c>
      <x:c r="Q117" s="18" t="n">
        <x:f>I117*L117</x:f>
        <x:v>0</x:v>
      </x:c>
      <x:c r="R117" s="18" t="n">
        <x:f>J117*L117</x:f>
        <x:v>0</x:v>
      </x:c>
      <x:c r="S117" s="18" t="n">
        <x:f>K117*L117</x:f>
        <x:v>0.0054931640625</x:v>
      </x:c>
    </x:row>
    <x:row r="118" ht="27" customHeight="1">
      <x:c r="A118" s="13" t="n">
        <x:v>2</x:v>
      </x:c>
      <x:c r="B118" s="13" t="n">
        <x:v>1</x:v>
      </x:c>
      <x:c r="C118" s="13" t="n">
        <x:v>5</x:v>
      </x:c>
      <x:c r="D118" s="13" t="n">
        <x:v>1</x:v>
      </x:c>
      <x:c r="E118" s="13" t="n">
        <x:v>1512</x:v>
      </x:c>
      <x:c r="F118" s="13" t="n">
        <x:v>1176</x:v>
      </x:c>
      <x:c r="G118" s="13" t="n">
        <x:v>912</x:v>
      </x:c>
      <x:c r="H118" s="13" t="n">
        <x:v>264</x:v>
      </x:c>
      <x:c r="I118" s="13" t="n">
        <x:v>0</x:v>
      </x:c>
      <x:c r="J118" s="13" t="n">
        <x:v>0</x:v>
      </x:c>
      <x:c r="K118" s="13" t="n">
        <x:v>1176</x:v>
      </x:c>
      <x:c r="L118" s="19" t="n">
        <x:f>'参数'!$D$5^A118*'参数'!$D$6^B118*'参数'!$D$7^C118*'参数'!$D$8^D118</x:f>
        <x:v>0.000003814697265625</x:v>
      </x:c>
      <x:c r="M118" s="19" t="n">
        <x:f>E118*L118</x:f>
        <x:v>0.005767822265625</x:v>
      </x:c>
      <x:c r="N118" s="19" t="n">
        <x:f>F118*L118</x:f>
        <x:v>0.004486083984375</x:v>
      </x:c>
      <x:c r="O118" s="19" t="n">
        <x:f>G118*L118</x:f>
        <x:v>0.00347900390625</x:v>
      </x:c>
      <x:c r="P118" s="19" t="n">
        <x:f>H118*L118</x:f>
        <x:v>0.001007080078125</x:v>
      </x:c>
      <x:c r="Q118" s="19" t="n">
        <x:f>I118*L118</x:f>
        <x:v>0</x:v>
      </x:c>
      <x:c r="R118" s="19" t="n">
        <x:f>J118*L118</x:f>
        <x:v>0</x:v>
      </x:c>
      <x:c r="S118" s="19" t="n">
        <x:f>K118*L118</x:f>
        <x:v>0.004486083984375</x:v>
      </x:c>
    </x:row>
    <x:row r="119" ht="27" customHeight="1">
      <x:c r="A119" s="12" t="n">
        <x:v>2</x:v>
      </x:c>
      <x:c r="B119" s="12" t="n">
        <x:v>1</x:v>
      </x:c>
      <x:c r="C119" s="12" t="n">
        <x:v>6</x:v>
      </x:c>
      <x:c r="D119" s="12" t="n">
        <x:v>0</x:v>
      </x:c>
      <x:c r="E119" s="12" t="n">
        <x:v>252</x:v>
      </x:c>
      <x:c r="F119" s="12" t="n">
        <x:v>246</x:v>
      </x:c>
      <x:c r="G119" s="12" t="n">
        <x:v>60</x:v>
      </x:c>
      <x:c r="H119" s="12" t="n">
        <x:v>138</x:v>
      </x:c>
      <x:c r="I119" s="12" t="n">
        <x:v>48</x:v>
      </x:c>
      <x:c r="J119" s="12" t="n">
        <x:v>0</x:v>
      </x:c>
      <x:c r="K119" s="12" t="n">
        <x:v>246</x:v>
      </x:c>
      <x:c r="L119" s="18" t="n">
        <x:f>'参数'!$D$5^A119*'参数'!$D$6^B119*'参数'!$D$7^C119*'参数'!$D$8^D119</x:f>
        <x:v>0.000003814697265625</x:v>
      </x:c>
      <x:c r="M119" s="18" t="n">
        <x:f>E119*L119</x:f>
        <x:v>0.0009613037109375</x:v>
      </x:c>
      <x:c r="N119" s="18" t="n">
        <x:f>F119*L119</x:f>
        <x:v>0.00093841552734375</x:v>
      </x:c>
      <x:c r="O119" s="18" t="n">
        <x:f>G119*L119</x:f>
        <x:v>0.0002288818359375</x:v>
      </x:c>
      <x:c r="P119" s="18" t="n">
        <x:f>H119*L119</x:f>
        <x:v>0.00052642822265625</x:v>
      </x:c>
      <x:c r="Q119" s="18" t="n">
        <x:f>I119*L119</x:f>
        <x:v>0.00018310546875</x:v>
      </x:c>
      <x:c r="R119" s="18" t="n">
        <x:f>J119*L119</x:f>
        <x:v>0</x:v>
      </x:c>
      <x:c r="S119" s="18" t="n">
        <x:f>K119*L119</x:f>
        <x:v>0.00093841552734375</x:v>
      </x:c>
    </x:row>
    <x:row r="120" ht="27" customHeight="1">
      <x:c r="A120" s="13" t="n">
        <x:v>2</x:v>
      </x:c>
      <x:c r="B120" s="13" t="n">
        <x:v>2</x:v>
      </x:c>
      <x:c r="C120" s="13" t="n">
        <x:v>0</x:v>
      </x:c>
      <x:c r="D120" s="13" t="n">
        <x:v>5</x:v>
      </x:c>
      <x:c r="E120" s="13" t="n">
        <x:v>756</x:v>
      </x:c>
      <x:c r="F120" s="13" t="n">
        <x:v>588</x:v>
      </x:c>
      <x:c r="G120" s="13" t="n">
        <x:v>456</x:v>
      </x:c>
      <x:c r="H120" s="13" t="n">
        <x:v>132</x:v>
      </x:c>
      <x:c r="I120" s="13" t="n">
        <x:v>0</x:v>
      </x:c>
      <x:c r="J120" s="13" t="n">
        <x:v>0</x:v>
      </x:c>
      <x:c r="K120" s="13" t="n">
        <x:v>588</x:v>
      </x:c>
      <x:c r="L120" s="19" t="n">
        <x:f>'参数'!$D$5^A120*'参数'!$D$6^B120*'参数'!$D$7^C120*'参数'!$D$8^D120</x:f>
        <x:v>0.000003814697265625</x:v>
      </x:c>
      <x:c r="M120" s="19" t="n">
        <x:f>E120*L120</x:f>
        <x:v>0.0028839111328125</x:v>
      </x:c>
      <x:c r="N120" s="19" t="n">
        <x:f>F120*L120</x:f>
        <x:v>0.0022430419921875</x:v>
      </x:c>
      <x:c r="O120" s="19" t="n">
        <x:f>G120*L120</x:f>
        <x:v>0.001739501953125</x:v>
      </x:c>
      <x:c r="P120" s="19" t="n">
        <x:f>H120*L120</x:f>
        <x:v>0.0005035400390625</x:v>
      </x:c>
      <x:c r="Q120" s="19" t="n">
        <x:f>I120*L120</x:f>
        <x:v>0</x:v>
      </x:c>
      <x:c r="R120" s="19" t="n">
        <x:f>J120*L120</x:f>
        <x:v>0</x:v>
      </x:c>
      <x:c r="S120" s="19" t="n">
        <x:f>K120*L120</x:f>
        <x:v>0.0022430419921875</x:v>
      </x:c>
    </x:row>
    <x:row r="121" ht="27" customHeight="1">
      <x:c r="A121" s="12" t="n">
        <x:v>2</x:v>
      </x:c>
      <x:c r="B121" s="12" t="n">
        <x:v>2</x:v>
      </x:c>
      <x:c r="C121" s="12" t="n">
        <x:v>1</x:v>
      </x:c>
      <x:c r="D121" s="12" t="n">
        <x:v>4</x:v>
      </x:c>
      <x:c r="E121" s="12" t="n">
        <x:v>3780</x:v>
      </x:c>
      <x:c r="F121" s="12" t="n">
        <x:v>1440</x:v>
      </x:c>
      <x:c r="G121" s="12" t="n">
        <x:v>1440</x:v>
      </x:c>
      <x:c r="H121" s="12" t="n">
        <x:v>0</x:v>
      </x:c>
      <x:c r="I121" s="12" t="n">
        <x:v>0</x:v>
      </x:c>
      <x:c r="J121" s="12" t="n">
        <x:v>0</x:v>
      </x:c>
      <x:c r="K121" s="12" t="n">
        <x:v>1440</x:v>
      </x:c>
      <x:c r="L121" s="18" t="n">
        <x:f>'参数'!$D$5^A121*'参数'!$D$6^B121*'参数'!$D$7^C121*'参数'!$D$8^D121</x:f>
        <x:v>0.000003814697265625</x:v>
      </x:c>
      <x:c r="M121" s="18" t="n">
        <x:f>E121*L121</x:f>
        <x:v>0.0144195556640625</x:v>
      </x:c>
      <x:c r="N121" s="18" t="n">
        <x:f>F121*L121</x:f>
        <x:v>0.0054931640625</x:v>
      </x:c>
      <x:c r="O121" s="18" t="n">
        <x:f>G121*L121</x:f>
        <x:v>0.0054931640625</x:v>
      </x:c>
      <x:c r="P121" s="18" t="n">
        <x:f>H121*L121</x:f>
        <x:v>0</x:v>
      </x:c>
      <x:c r="Q121" s="18" t="n">
        <x:f>I121*L121</x:f>
        <x:v>0</x:v>
      </x:c>
      <x:c r="R121" s="18" t="n">
        <x:f>J121*L121</x:f>
        <x:v>0</x:v>
      </x:c>
      <x:c r="S121" s="18" t="n">
        <x:f>K121*L121</x:f>
        <x:v>0.0054931640625</x:v>
      </x:c>
    </x:row>
    <x:row r="122" ht="27" customHeight="1">
      <x:c r="A122" s="13" t="n">
        <x:v>2</x:v>
      </x:c>
      <x:c r="B122" s="13" t="n">
        <x:v>2</x:v>
      </x:c>
      <x:c r="C122" s="13" t="n">
        <x:v>2</x:v>
      </x:c>
      <x:c r="D122" s="13" t="n">
        <x:v>3</x:v>
      </x:c>
      <x:c r="E122" s="13" t="n">
        <x:v>7560</x:v>
      </x:c>
      <x:c r="F122" s="13" t="n">
        <x:v>720</x:v>
      </x:c>
      <x:c r="G122" s="13" t="n">
        <x:v>720</x:v>
      </x:c>
      <x:c r="H122" s="13" t="n">
        <x:v>0</x:v>
      </x:c>
      <x:c r="I122" s="13" t="n">
        <x:v>0</x:v>
      </x:c>
      <x:c r="J122" s="13" t="n">
        <x:v>0</x:v>
      </x:c>
      <x:c r="K122" s="13" t="n">
        <x:v>720</x:v>
      </x:c>
      <x:c r="L122" s="19" t="n">
        <x:f>'参数'!$D$5^A122*'参数'!$D$6^B122*'参数'!$D$7^C122*'参数'!$D$8^D122</x:f>
        <x:v>0.000003814697265625</x:v>
      </x:c>
      <x:c r="M122" s="19" t="n">
        <x:f>E122*L122</x:f>
        <x:v>0.028839111328125</x:v>
      </x:c>
      <x:c r="N122" s="19" t="n">
        <x:f>F122*L122</x:f>
        <x:v>0.00274658203125</x:v>
      </x:c>
      <x:c r="O122" s="19" t="n">
        <x:f>G122*L122</x:f>
        <x:v>0.00274658203125</x:v>
      </x:c>
      <x:c r="P122" s="19" t="n">
        <x:f>H122*L122</x:f>
        <x:v>0</x:v>
      </x:c>
      <x:c r="Q122" s="19" t="n">
        <x:f>I122*L122</x:f>
        <x:v>0</x:v>
      </x:c>
      <x:c r="R122" s="19" t="n">
        <x:f>J122*L122</x:f>
        <x:v>0</x:v>
      </x:c>
      <x:c r="S122" s="19" t="n">
        <x:f>K122*L122</x:f>
        <x:v>0.00274658203125</x:v>
      </x:c>
    </x:row>
    <x:row r="123" ht="27" customHeight="1">
      <x:c r="A123" s="12" t="n">
        <x:v>2</x:v>
      </x:c>
      <x:c r="B123" s="12" t="n">
        <x:v>2</x:v>
      </x:c>
      <x:c r="C123" s="12" t="n">
        <x:v>3</x:v>
      </x:c>
      <x:c r="D123" s="12" t="n">
        <x:v>2</x:v>
      </x:c>
      <x:c r="E123" s="12" t="n">
        <x:v>7560</x:v>
      </x:c>
      <x:c r="F123" s="12" t="n">
        <x:v>720</x:v>
      </x:c>
      <x:c r="G123" s="12" t="n">
        <x:v>720</x:v>
      </x:c>
      <x:c r="H123" s="12" t="n">
        <x:v>0</x:v>
      </x:c>
      <x:c r="I123" s="12" t="n">
        <x:v>0</x:v>
      </x:c>
      <x:c r="J123" s="12" t="n">
        <x:v>0</x:v>
      </x:c>
      <x:c r="K123" s="12" t="n">
        <x:v>720</x:v>
      </x:c>
      <x:c r="L123" s="18" t="n">
        <x:f>'参数'!$D$5^A123*'参数'!$D$6^B123*'参数'!$D$7^C123*'参数'!$D$8^D123</x:f>
        <x:v>0.000003814697265625</x:v>
      </x:c>
      <x:c r="M123" s="18" t="n">
        <x:f>E123*L123</x:f>
        <x:v>0.028839111328125</x:v>
      </x:c>
      <x:c r="N123" s="18" t="n">
        <x:f>F123*L123</x:f>
        <x:v>0.00274658203125</x:v>
      </x:c>
      <x:c r="O123" s="18" t="n">
        <x:f>G123*L123</x:f>
        <x:v>0.00274658203125</x:v>
      </x:c>
      <x:c r="P123" s="18" t="n">
        <x:f>H123*L123</x:f>
        <x:v>0</x:v>
      </x:c>
      <x:c r="Q123" s="18" t="n">
        <x:f>I123*L123</x:f>
        <x:v>0</x:v>
      </x:c>
      <x:c r="R123" s="18" t="n">
        <x:f>J123*L123</x:f>
        <x:v>0</x:v>
      </x:c>
      <x:c r="S123" s="18" t="n">
        <x:f>K123*L123</x:f>
        <x:v>0.00274658203125</x:v>
      </x:c>
    </x:row>
    <x:row r="124" ht="27" customHeight="1">
      <x:c r="A124" s="13" t="n">
        <x:v>2</x:v>
      </x:c>
      <x:c r="B124" s="13" t="n">
        <x:v>2</x:v>
      </x:c>
      <x:c r="C124" s="13" t="n">
        <x:v>4</x:v>
      </x:c>
      <x:c r="D124" s="13" t="n">
        <x:v>1</x:v>
      </x:c>
      <x:c r="E124" s="13" t="n">
        <x:v>3780</x:v>
      </x:c>
      <x:c r="F124" s="13" t="n">
        <x:v>1440</x:v>
      </x:c>
      <x:c r="G124" s="13" t="n">
        <x:v>1440</x:v>
      </x:c>
      <x:c r="H124" s="13" t="n">
        <x:v>0</x:v>
      </x:c>
      <x:c r="I124" s="13" t="n">
        <x:v>0</x:v>
      </x:c>
      <x:c r="J124" s="13" t="n">
        <x:v>0</x:v>
      </x:c>
      <x:c r="K124" s="13" t="n">
        <x:v>1440</x:v>
      </x:c>
      <x:c r="L124" s="19" t="n">
        <x:f>'参数'!$D$5^A124*'参数'!$D$6^B124*'参数'!$D$7^C124*'参数'!$D$8^D124</x:f>
        <x:v>0.000003814697265625</x:v>
      </x:c>
      <x:c r="M124" s="19" t="n">
        <x:f>E124*L124</x:f>
        <x:v>0.0144195556640625</x:v>
      </x:c>
      <x:c r="N124" s="19" t="n">
        <x:f>F124*L124</x:f>
        <x:v>0.0054931640625</x:v>
      </x:c>
      <x:c r="O124" s="19" t="n">
        <x:f>G124*L124</x:f>
        <x:v>0.0054931640625</x:v>
      </x:c>
      <x:c r="P124" s="19" t="n">
        <x:f>H124*L124</x:f>
        <x:v>0</x:v>
      </x:c>
      <x:c r="Q124" s="19" t="n">
        <x:f>I124*L124</x:f>
        <x:v>0</x:v>
      </x:c>
      <x:c r="R124" s="19" t="n">
        <x:f>J124*L124</x:f>
        <x:v>0</x:v>
      </x:c>
      <x:c r="S124" s="19" t="n">
        <x:f>K124*L124</x:f>
        <x:v>0.0054931640625</x:v>
      </x:c>
    </x:row>
    <x:row r="125" ht="27" customHeight="1">
      <x:c r="A125" s="12" t="n">
        <x:v>2</x:v>
      </x:c>
      <x:c r="B125" s="12" t="n">
        <x:v>2</x:v>
      </x:c>
      <x:c r="C125" s="12" t="n">
        <x:v>5</x:v>
      </x:c>
      <x:c r="D125" s="12" t="n">
        <x:v>0</x:v>
      </x:c>
      <x:c r="E125" s="12" t="n">
        <x:v>756</x:v>
      </x:c>
      <x:c r="F125" s="12" t="n">
        <x:v>588</x:v>
      </x:c>
      <x:c r="G125" s="12" t="n">
        <x:v>456</x:v>
      </x:c>
      <x:c r="H125" s="12" t="n">
        <x:v>132</x:v>
      </x:c>
      <x:c r="I125" s="12" t="n">
        <x:v>0</x:v>
      </x:c>
      <x:c r="J125" s="12" t="n">
        <x:v>0</x:v>
      </x:c>
      <x:c r="K125" s="12" t="n">
        <x:v>588</x:v>
      </x:c>
      <x:c r="L125" s="18" t="n">
        <x:f>'参数'!$D$5^A125*'参数'!$D$6^B125*'参数'!$D$7^C125*'参数'!$D$8^D125</x:f>
        <x:v>0.000003814697265625</x:v>
      </x:c>
      <x:c r="M125" s="18" t="n">
        <x:f>E125*L125</x:f>
        <x:v>0.0028839111328125</x:v>
      </x:c>
      <x:c r="N125" s="18" t="n">
        <x:f>F125*L125</x:f>
        <x:v>0.0022430419921875</x:v>
      </x:c>
      <x:c r="O125" s="18" t="n">
        <x:f>G125*L125</x:f>
        <x:v>0.001739501953125</x:v>
      </x:c>
      <x:c r="P125" s="18" t="n">
        <x:f>H125*L125</x:f>
        <x:v>0.0005035400390625</x:v>
      </x:c>
      <x:c r="Q125" s="18" t="n">
        <x:f>I125*L125</x:f>
        <x:v>0</x:v>
      </x:c>
      <x:c r="R125" s="18" t="n">
        <x:f>J125*L125</x:f>
        <x:v>0</x:v>
      </x:c>
      <x:c r="S125" s="18" t="n">
        <x:f>K125*L125</x:f>
        <x:v>0.0022430419921875</x:v>
      </x:c>
    </x:row>
    <x:row r="126" ht="27" customHeight="1">
      <x:c r="A126" s="13" t="n">
        <x:v>2</x:v>
      </x:c>
      <x:c r="B126" s="13" t="n">
        <x:v>3</x:v>
      </x:c>
      <x:c r="C126" s="13" t="n">
        <x:v>0</x:v>
      </x:c>
      <x:c r="D126" s="13" t="n">
        <x:v>4</x:v>
      </x:c>
      <x:c r="E126" s="13" t="n">
        <x:v>1260</x:v>
      </x:c>
      <x:c r="F126" s="13" t="n">
        <x:v>564</x:v>
      </x:c>
      <x:c r="G126" s="13" t="n">
        <x:v>600</x:v>
      </x:c>
      <x:c r="H126" s="13" t="n">
        <x:v>0</x:v>
      </x:c>
      <x:c r="I126" s="13" t="n">
        <x:v>0</x:v>
      </x:c>
      <x:c r="J126" s="13" t="n">
        <x:v>0</x:v>
      </x:c>
      <x:c r="K126" s="13" t="n">
        <x:v>600</x:v>
      </x:c>
      <x:c r="L126" s="19" t="n">
        <x:f>'参数'!$D$5^A126*'参数'!$D$6^B126*'参数'!$D$7^C126*'参数'!$D$8^D126</x:f>
        <x:v>0.000003814697265625</x:v>
      </x:c>
      <x:c r="M126" s="19" t="n">
        <x:f>E126*L126</x:f>
        <x:v>0.0048065185546875</x:v>
      </x:c>
      <x:c r="N126" s="19" t="n">
        <x:f>F126*L126</x:f>
        <x:v>0.0021514892578125</x:v>
      </x:c>
      <x:c r="O126" s="19" t="n">
        <x:f>G126*L126</x:f>
        <x:v>0.002288818359375</x:v>
      </x:c>
      <x:c r="P126" s="19" t="n">
        <x:f>H126*L126</x:f>
        <x:v>0</x:v>
      </x:c>
      <x:c r="Q126" s="19" t="n">
        <x:f>I126*L126</x:f>
        <x:v>0</x:v>
      </x:c>
      <x:c r="R126" s="19" t="n">
        <x:f>J126*L126</x:f>
        <x:v>0</x:v>
      </x:c>
      <x:c r="S126" s="19" t="n">
        <x:f>K126*L126</x:f>
        <x:v>0.002288818359375</x:v>
      </x:c>
    </x:row>
    <x:row r="127" ht="27" customHeight="1">
      <x:c r="A127" s="12" t="n">
        <x:v>2</x:v>
      </x:c>
      <x:c r="B127" s="12" t="n">
        <x:v>3</x:v>
      </x:c>
      <x:c r="C127" s="12" t="n">
        <x:v>1</x:v>
      </x:c>
      <x:c r="D127" s="12" t="n">
        <x:v>3</x:v>
      </x:c>
      <x:c r="E127" s="12" t="n">
        <x:v>5040</x:v>
      </x:c>
      <x:c r="F127" s="12" t="n">
        <x:v>924</x:v>
      </x:c>
      <x:c r="G127" s="12" t="n">
        <x:v>960</x:v>
      </x:c>
      <x:c r="H127" s="12" t="n">
        <x:v>0</x:v>
      </x:c>
      <x:c r="I127" s="12" t="n">
        <x:v>0</x:v>
      </x:c>
      <x:c r="J127" s="12" t="n">
        <x:v>0</x:v>
      </x:c>
      <x:c r="K127" s="12" t="n">
        <x:v>960</x:v>
      </x:c>
      <x:c r="L127" s="18" t="n">
        <x:f>'参数'!$D$5^A127*'参数'!$D$6^B127*'参数'!$D$7^C127*'参数'!$D$8^D127</x:f>
        <x:v>0.000003814697265625</x:v>
      </x:c>
      <x:c r="M127" s="18" t="n">
        <x:f>E127*L127</x:f>
        <x:v>0.01922607421875</x:v>
      </x:c>
      <x:c r="N127" s="18" t="n">
        <x:f>F127*L127</x:f>
        <x:v>0.0035247802734375</x:v>
      </x:c>
      <x:c r="O127" s="18" t="n">
        <x:f>G127*L127</x:f>
        <x:v>0.003662109375</x:v>
      </x:c>
      <x:c r="P127" s="18" t="n">
        <x:f>H127*L127</x:f>
        <x:v>0</x:v>
      </x:c>
      <x:c r="Q127" s="18" t="n">
        <x:f>I127*L127</x:f>
        <x:v>0</x:v>
      </x:c>
      <x:c r="R127" s="18" t="n">
        <x:f>J127*L127</x:f>
        <x:v>0</x:v>
      </x:c>
      <x:c r="S127" s="18" t="n">
        <x:f>K127*L127</x:f>
        <x:v>0.003662109375</x:v>
      </x:c>
    </x:row>
    <x:row r="128" ht="27" customHeight="1">
      <x:c r="A128" s="13" t="n">
        <x:v>2</x:v>
      </x:c>
      <x:c r="B128" s="13" t="n">
        <x:v>3</x:v>
      </x:c>
      <x:c r="C128" s="13" t="n">
        <x:v>2</x:v>
      </x:c>
      <x:c r="D128" s="13" t="n">
        <x:v>2</x:v>
      </x:c>
      <x:c r="E128" s="13" t="n">
        <x:v>7560</x:v>
      </x:c>
      <x:c r="F128" s="13" t="n">
        <x:v>720</x:v>
      </x:c>
      <x:c r="G128" s="13" t="n">
        <x:v>720</x:v>
      </x:c>
      <x:c r="H128" s="13" t="n">
        <x:v>0</x:v>
      </x:c>
      <x:c r="I128" s="13" t="n">
        <x:v>0</x:v>
      </x:c>
      <x:c r="J128" s="13" t="n">
        <x:v>0</x:v>
      </x:c>
      <x:c r="K128" s="13" t="n">
        <x:v>720</x:v>
      </x:c>
      <x:c r="L128" s="19" t="n">
        <x:f>'参数'!$D$5^A128*'参数'!$D$6^B128*'参数'!$D$7^C128*'参数'!$D$8^D128</x:f>
        <x:v>0.000003814697265625</x:v>
      </x:c>
      <x:c r="M128" s="19" t="n">
        <x:f>E128*L128</x:f>
        <x:v>0.028839111328125</x:v>
      </x:c>
      <x:c r="N128" s="19" t="n">
        <x:f>F128*L128</x:f>
        <x:v>0.00274658203125</x:v>
      </x:c>
      <x:c r="O128" s="19" t="n">
        <x:f>G128*L128</x:f>
        <x:v>0.00274658203125</x:v>
      </x:c>
      <x:c r="P128" s="19" t="n">
        <x:f>H128*L128</x:f>
        <x:v>0</x:v>
      </x:c>
      <x:c r="Q128" s="19" t="n">
        <x:f>I128*L128</x:f>
        <x:v>0</x:v>
      </x:c>
      <x:c r="R128" s="19" t="n">
        <x:f>J128*L128</x:f>
        <x:v>0</x:v>
      </x:c>
      <x:c r="S128" s="19" t="n">
        <x:f>K128*L128</x:f>
        <x:v>0.00274658203125</x:v>
      </x:c>
    </x:row>
    <x:row r="129" ht="27" customHeight="1">
      <x:c r="A129" s="12" t="n">
        <x:v>2</x:v>
      </x:c>
      <x:c r="B129" s="12" t="n">
        <x:v>3</x:v>
      </x:c>
      <x:c r="C129" s="12" t="n">
        <x:v>3</x:v>
      </x:c>
      <x:c r="D129" s="12" t="n">
        <x:v>1</x:v>
      </x:c>
      <x:c r="E129" s="12" t="n">
        <x:v>5040</x:v>
      </x:c>
      <x:c r="F129" s="12" t="n">
        <x:v>924</x:v>
      </x:c>
      <x:c r="G129" s="12" t="n">
        <x:v>960</x:v>
      </x:c>
      <x:c r="H129" s="12" t="n">
        <x:v>0</x:v>
      </x:c>
      <x:c r="I129" s="12" t="n">
        <x:v>0</x:v>
      </x:c>
      <x:c r="J129" s="12" t="n">
        <x:v>0</x:v>
      </x:c>
      <x:c r="K129" s="12" t="n">
        <x:v>960</x:v>
      </x:c>
      <x:c r="L129" s="18" t="n">
        <x:f>'参数'!$D$5^A129*'参数'!$D$6^B129*'参数'!$D$7^C129*'参数'!$D$8^D129</x:f>
        <x:v>0.000003814697265625</x:v>
      </x:c>
      <x:c r="M129" s="18" t="n">
        <x:f>E129*L129</x:f>
        <x:v>0.01922607421875</x:v>
      </x:c>
      <x:c r="N129" s="18" t="n">
        <x:f>F129*L129</x:f>
        <x:v>0.0035247802734375</x:v>
      </x:c>
      <x:c r="O129" s="18" t="n">
        <x:f>G129*L129</x:f>
        <x:v>0.003662109375</x:v>
      </x:c>
      <x:c r="P129" s="18" t="n">
        <x:f>H129*L129</x:f>
        <x:v>0</x:v>
      </x:c>
      <x:c r="Q129" s="18" t="n">
        <x:f>I129*L129</x:f>
        <x:v>0</x:v>
      </x:c>
      <x:c r="R129" s="18" t="n">
        <x:f>J129*L129</x:f>
        <x:v>0</x:v>
      </x:c>
      <x:c r="S129" s="18" t="n">
        <x:f>K129*L129</x:f>
        <x:v>0.003662109375</x:v>
      </x:c>
    </x:row>
    <x:row r="130" ht="27" customHeight="1">
      <x:c r="A130" s="13" t="n">
        <x:v>2</x:v>
      </x:c>
      <x:c r="B130" s="13" t="n">
        <x:v>3</x:v>
      </x:c>
      <x:c r="C130" s="13" t="n">
        <x:v>4</x:v>
      </x:c>
      <x:c r="D130" s="13" t="n">
        <x:v>0</x:v>
      </x:c>
      <x:c r="E130" s="13" t="n">
        <x:v>1260</x:v>
      </x:c>
      <x:c r="F130" s="13" t="n">
        <x:v>564</x:v>
      </x:c>
      <x:c r="G130" s="13" t="n">
        <x:v>600</x:v>
      </x:c>
      <x:c r="H130" s="13" t="n">
        <x:v>0</x:v>
      </x:c>
      <x:c r="I130" s="13" t="n">
        <x:v>0</x:v>
      </x:c>
      <x:c r="J130" s="13" t="n">
        <x:v>0</x:v>
      </x:c>
      <x:c r="K130" s="13" t="n">
        <x:v>600</x:v>
      </x:c>
      <x:c r="L130" s="19" t="n">
        <x:f>'参数'!$D$5^A130*'参数'!$D$6^B130*'参数'!$D$7^C130*'参数'!$D$8^D130</x:f>
        <x:v>0.000003814697265625</x:v>
      </x:c>
      <x:c r="M130" s="19" t="n">
        <x:f>E130*L130</x:f>
        <x:v>0.0048065185546875</x:v>
      </x:c>
      <x:c r="N130" s="19" t="n">
        <x:f>F130*L130</x:f>
        <x:v>0.0021514892578125</x:v>
      </x:c>
      <x:c r="O130" s="19" t="n">
        <x:f>G130*L130</x:f>
        <x:v>0.002288818359375</x:v>
      </x:c>
      <x:c r="P130" s="19" t="n">
        <x:f>H130*L130</x:f>
        <x:v>0</x:v>
      </x:c>
      <x:c r="Q130" s="19" t="n">
        <x:f>I130*L130</x:f>
        <x:v>0</x:v>
      </x:c>
      <x:c r="R130" s="19" t="n">
        <x:f>J130*L130</x:f>
        <x:v>0</x:v>
      </x:c>
      <x:c r="S130" s="19" t="n">
        <x:f>K130*L130</x:f>
        <x:v>0.002288818359375</x:v>
      </x:c>
    </x:row>
    <x:row r="131" ht="27" customHeight="1">
      <x:c r="A131" s="12" t="n">
        <x:v>2</x:v>
      </x:c>
      <x:c r="B131" s="12" t="n">
        <x:v>4</x:v>
      </x:c>
      <x:c r="C131" s="12" t="n">
        <x:v>0</x:v>
      </x:c>
      <x:c r="D131" s="12" t="n">
        <x:v>3</x:v>
      </x:c>
      <x:c r="E131" s="12" t="n">
        <x:v>1260</x:v>
      </x:c>
      <x:c r="F131" s="12" t="n">
        <x:v>564</x:v>
      </x:c>
      <x:c r="G131" s="12" t="n">
        <x:v>600</x:v>
      </x:c>
      <x:c r="H131" s="12" t="n">
        <x:v>0</x:v>
      </x:c>
      <x:c r="I131" s="12" t="n">
        <x:v>0</x:v>
      </x:c>
      <x:c r="J131" s="12" t="n">
        <x:v>0</x:v>
      </x:c>
      <x:c r="K131" s="12" t="n">
        <x:v>600</x:v>
      </x:c>
      <x:c r="L131" s="18" t="n">
        <x:f>'参数'!$D$5^A131*'参数'!$D$6^B131*'参数'!$D$7^C131*'参数'!$D$8^D131</x:f>
        <x:v>0.000003814697265625</x:v>
      </x:c>
      <x:c r="M131" s="18" t="n">
        <x:f>E131*L131</x:f>
        <x:v>0.0048065185546875</x:v>
      </x:c>
      <x:c r="N131" s="18" t="n">
        <x:f>F131*L131</x:f>
        <x:v>0.0021514892578125</x:v>
      </x:c>
      <x:c r="O131" s="18" t="n">
        <x:f>G131*L131</x:f>
        <x:v>0.002288818359375</x:v>
      </x:c>
      <x:c r="P131" s="18" t="n">
        <x:f>H131*L131</x:f>
        <x:v>0</x:v>
      </x:c>
      <x:c r="Q131" s="18" t="n">
        <x:f>I131*L131</x:f>
        <x:v>0</x:v>
      </x:c>
      <x:c r="R131" s="18" t="n">
        <x:f>J131*L131</x:f>
        <x:v>0</x:v>
      </x:c>
      <x:c r="S131" s="18" t="n">
        <x:f>K131*L131</x:f>
        <x:v>0.002288818359375</x:v>
      </x:c>
    </x:row>
    <x:row r="132" ht="27" customHeight="1">
      <x:c r="A132" s="13" t="n">
        <x:v>2</x:v>
      </x:c>
      <x:c r="B132" s="13" t="n">
        <x:v>4</x:v>
      </x:c>
      <x:c r="C132" s="13" t="n">
        <x:v>1</x:v>
      </x:c>
      <x:c r="D132" s="13" t="n">
        <x:v>2</x:v>
      </x:c>
      <x:c r="E132" s="13" t="n">
        <x:v>3780</x:v>
      </x:c>
      <x:c r="F132" s="13" t="n">
        <x:v>1440</x:v>
      </x:c>
      <x:c r="G132" s="13" t="n">
        <x:v>1440</x:v>
      </x:c>
      <x:c r="H132" s="13" t="n">
        <x:v>0</x:v>
      </x:c>
      <x:c r="I132" s="13" t="n">
        <x:v>0</x:v>
      </x:c>
      <x:c r="J132" s="13" t="n">
        <x:v>0</x:v>
      </x:c>
      <x:c r="K132" s="13" t="n">
        <x:v>1440</x:v>
      </x:c>
      <x:c r="L132" s="19" t="n">
        <x:f>'参数'!$D$5^A132*'参数'!$D$6^B132*'参数'!$D$7^C132*'参数'!$D$8^D132</x:f>
        <x:v>0.000003814697265625</x:v>
      </x:c>
      <x:c r="M132" s="19" t="n">
        <x:f>E132*L132</x:f>
        <x:v>0.0144195556640625</x:v>
      </x:c>
      <x:c r="N132" s="19" t="n">
        <x:f>F132*L132</x:f>
        <x:v>0.0054931640625</x:v>
      </x:c>
      <x:c r="O132" s="19" t="n">
        <x:f>G132*L132</x:f>
        <x:v>0.0054931640625</x:v>
      </x:c>
      <x:c r="P132" s="19" t="n">
        <x:f>H132*L132</x:f>
        <x:v>0</x:v>
      </x:c>
      <x:c r="Q132" s="19" t="n">
        <x:f>I132*L132</x:f>
        <x:v>0</x:v>
      </x:c>
      <x:c r="R132" s="19" t="n">
        <x:f>J132*L132</x:f>
        <x:v>0</x:v>
      </x:c>
      <x:c r="S132" s="19" t="n">
        <x:f>K132*L132</x:f>
        <x:v>0.0054931640625</x:v>
      </x:c>
    </x:row>
    <x:row r="133" ht="27" customHeight="1">
      <x:c r="A133" s="12" t="n">
        <x:v>2</x:v>
      </x:c>
      <x:c r="B133" s="12" t="n">
        <x:v>4</x:v>
      </x:c>
      <x:c r="C133" s="12" t="n">
        <x:v>2</x:v>
      </x:c>
      <x:c r="D133" s="12" t="n">
        <x:v>1</x:v>
      </x:c>
      <x:c r="E133" s="12" t="n">
        <x:v>3780</x:v>
      </x:c>
      <x:c r="F133" s="12" t="n">
        <x:v>1440</x:v>
      </x:c>
      <x:c r="G133" s="12" t="n">
        <x:v>1440</x:v>
      </x:c>
      <x:c r="H133" s="12" t="n">
        <x:v>0</x:v>
      </x:c>
      <x:c r="I133" s="12" t="n">
        <x:v>0</x:v>
      </x:c>
      <x:c r="J133" s="12" t="n">
        <x:v>0</x:v>
      </x:c>
      <x:c r="K133" s="12" t="n">
        <x:v>1440</x:v>
      </x:c>
      <x:c r="L133" s="18" t="n">
        <x:f>'参数'!$D$5^A133*'参数'!$D$6^B133*'参数'!$D$7^C133*'参数'!$D$8^D133</x:f>
        <x:v>0.000003814697265625</x:v>
      </x:c>
      <x:c r="M133" s="18" t="n">
        <x:f>E133*L133</x:f>
        <x:v>0.0144195556640625</x:v>
      </x:c>
      <x:c r="N133" s="18" t="n">
        <x:f>F133*L133</x:f>
        <x:v>0.0054931640625</x:v>
      </x:c>
      <x:c r="O133" s="18" t="n">
        <x:f>G133*L133</x:f>
        <x:v>0.0054931640625</x:v>
      </x:c>
      <x:c r="P133" s="18" t="n">
        <x:f>H133*L133</x:f>
        <x:v>0</x:v>
      </x:c>
      <x:c r="Q133" s="18" t="n">
        <x:f>I133*L133</x:f>
        <x:v>0</x:v>
      </x:c>
      <x:c r="R133" s="18" t="n">
        <x:f>J133*L133</x:f>
        <x:v>0</x:v>
      </x:c>
      <x:c r="S133" s="18" t="n">
        <x:f>K133*L133</x:f>
        <x:v>0.0054931640625</x:v>
      </x:c>
    </x:row>
    <x:row r="134" ht="27" customHeight="1">
      <x:c r="A134" s="13" t="n">
        <x:v>2</x:v>
      </x:c>
      <x:c r="B134" s="13" t="n">
        <x:v>4</x:v>
      </x:c>
      <x:c r="C134" s="13" t="n">
        <x:v>3</x:v>
      </x:c>
      <x:c r="D134" s="13" t="n">
        <x:v>0</x:v>
      </x:c>
      <x:c r="E134" s="13" t="n">
        <x:v>1260</x:v>
      </x:c>
      <x:c r="F134" s="13" t="n">
        <x:v>564</x:v>
      </x:c>
      <x:c r="G134" s="13" t="n">
        <x:v>600</x:v>
      </x:c>
      <x:c r="H134" s="13" t="n">
        <x:v>0</x:v>
      </x:c>
      <x:c r="I134" s="13" t="n">
        <x:v>0</x:v>
      </x:c>
      <x:c r="J134" s="13" t="n">
        <x:v>0</x:v>
      </x:c>
      <x:c r="K134" s="13" t="n">
        <x:v>600</x:v>
      </x:c>
      <x:c r="L134" s="19" t="n">
        <x:f>'参数'!$D$5^A134*'参数'!$D$6^B134*'参数'!$D$7^C134*'参数'!$D$8^D134</x:f>
        <x:v>0.000003814697265625</x:v>
      </x:c>
      <x:c r="M134" s="19" t="n">
        <x:f>E134*L134</x:f>
        <x:v>0.0048065185546875</x:v>
      </x:c>
      <x:c r="N134" s="19" t="n">
        <x:f>F134*L134</x:f>
        <x:v>0.0021514892578125</x:v>
      </x:c>
      <x:c r="O134" s="19" t="n">
        <x:f>G134*L134</x:f>
        <x:v>0.002288818359375</x:v>
      </x:c>
      <x:c r="P134" s="19" t="n">
        <x:f>H134*L134</x:f>
        <x:v>0</x:v>
      </x:c>
      <x:c r="Q134" s="19" t="n">
        <x:f>I134*L134</x:f>
        <x:v>0</x:v>
      </x:c>
      <x:c r="R134" s="19" t="n">
        <x:f>J134*L134</x:f>
        <x:v>0</x:v>
      </x:c>
      <x:c r="S134" s="19" t="n">
        <x:f>K134*L134</x:f>
        <x:v>0.002288818359375</x:v>
      </x:c>
    </x:row>
    <x:row r="135" ht="27" customHeight="1">
      <x:c r="A135" s="12" t="n">
        <x:v>2</x:v>
      </x:c>
      <x:c r="B135" s="12" t="n">
        <x:v>5</x:v>
      </x:c>
      <x:c r="C135" s="12" t="n">
        <x:v>0</x:v>
      </x:c>
      <x:c r="D135" s="12" t="n">
        <x:v>2</x:v>
      </x:c>
      <x:c r="E135" s="12" t="n">
        <x:v>756</x:v>
      </x:c>
      <x:c r="F135" s="12" t="n">
        <x:v>588</x:v>
      </x:c>
      <x:c r="G135" s="12" t="n">
        <x:v>456</x:v>
      </x:c>
      <x:c r="H135" s="12" t="n">
        <x:v>132</x:v>
      </x:c>
      <x:c r="I135" s="12" t="n">
        <x:v>0</x:v>
      </x:c>
      <x:c r="J135" s="12" t="n">
        <x:v>0</x:v>
      </x:c>
      <x:c r="K135" s="12" t="n">
        <x:v>588</x:v>
      </x:c>
      <x:c r="L135" s="18" t="n">
        <x:f>'参数'!$D$5^A135*'参数'!$D$6^B135*'参数'!$D$7^C135*'参数'!$D$8^D135</x:f>
        <x:v>0.000003814697265625</x:v>
      </x:c>
      <x:c r="M135" s="18" t="n">
        <x:f>E135*L135</x:f>
        <x:v>0.0028839111328125</x:v>
      </x:c>
      <x:c r="N135" s="18" t="n">
        <x:f>F135*L135</x:f>
        <x:v>0.0022430419921875</x:v>
      </x:c>
      <x:c r="O135" s="18" t="n">
        <x:f>G135*L135</x:f>
        <x:v>0.001739501953125</x:v>
      </x:c>
      <x:c r="P135" s="18" t="n">
        <x:f>H135*L135</x:f>
        <x:v>0.0005035400390625</x:v>
      </x:c>
      <x:c r="Q135" s="18" t="n">
        <x:f>I135*L135</x:f>
        <x:v>0</x:v>
      </x:c>
      <x:c r="R135" s="18" t="n">
        <x:f>J135*L135</x:f>
        <x:v>0</x:v>
      </x:c>
      <x:c r="S135" s="18" t="n">
        <x:f>K135*L135</x:f>
        <x:v>0.0022430419921875</x:v>
      </x:c>
    </x:row>
    <x:row r="136" ht="27" customHeight="1">
      <x:c r="A136" s="13" t="n">
        <x:v>2</x:v>
      </x:c>
      <x:c r="B136" s="13" t="n">
        <x:v>5</x:v>
      </x:c>
      <x:c r="C136" s="13" t="n">
        <x:v>1</x:v>
      </x:c>
      <x:c r="D136" s="13" t="n">
        <x:v>1</x:v>
      </x:c>
      <x:c r="E136" s="13" t="n">
        <x:v>1512</x:v>
      </x:c>
      <x:c r="F136" s="13" t="n">
        <x:v>1176</x:v>
      </x:c>
      <x:c r="G136" s="13" t="n">
        <x:v>912</x:v>
      </x:c>
      <x:c r="H136" s="13" t="n">
        <x:v>264</x:v>
      </x:c>
      <x:c r="I136" s="13" t="n">
        <x:v>0</x:v>
      </x:c>
      <x:c r="J136" s="13" t="n">
        <x:v>0</x:v>
      </x:c>
      <x:c r="K136" s="13" t="n">
        <x:v>1176</x:v>
      </x:c>
      <x:c r="L136" s="19" t="n">
        <x:f>'参数'!$D$5^A136*'参数'!$D$6^B136*'参数'!$D$7^C136*'参数'!$D$8^D136</x:f>
        <x:v>0.000003814697265625</x:v>
      </x:c>
      <x:c r="M136" s="19" t="n">
        <x:f>E136*L136</x:f>
        <x:v>0.005767822265625</x:v>
      </x:c>
      <x:c r="N136" s="19" t="n">
        <x:f>F136*L136</x:f>
        <x:v>0.004486083984375</x:v>
      </x:c>
      <x:c r="O136" s="19" t="n">
        <x:f>G136*L136</x:f>
        <x:v>0.00347900390625</x:v>
      </x:c>
      <x:c r="P136" s="19" t="n">
        <x:f>H136*L136</x:f>
        <x:v>0.001007080078125</x:v>
      </x:c>
      <x:c r="Q136" s="19" t="n">
        <x:f>I136*L136</x:f>
        <x:v>0</x:v>
      </x:c>
      <x:c r="R136" s="19" t="n">
        <x:f>J136*L136</x:f>
        <x:v>0</x:v>
      </x:c>
      <x:c r="S136" s="19" t="n">
        <x:f>K136*L136</x:f>
        <x:v>0.004486083984375</x:v>
      </x:c>
    </x:row>
    <x:row r="137" ht="27" customHeight="1">
      <x:c r="A137" s="12" t="n">
        <x:v>2</x:v>
      </x:c>
      <x:c r="B137" s="12" t="n">
        <x:v>5</x:v>
      </x:c>
      <x:c r="C137" s="12" t="n">
        <x:v>2</x:v>
      </x:c>
      <x:c r="D137" s="12" t="n">
        <x:v>0</x:v>
      </x:c>
      <x:c r="E137" s="12" t="n">
        <x:v>756</x:v>
      </x:c>
      <x:c r="F137" s="12" t="n">
        <x:v>588</x:v>
      </x:c>
      <x:c r="G137" s="12" t="n">
        <x:v>456</x:v>
      </x:c>
      <x:c r="H137" s="12" t="n">
        <x:v>132</x:v>
      </x:c>
      <x:c r="I137" s="12" t="n">
        <x:v>0</x:v>
      </x:c>
      <x:c r="J137" s="12" t="n">
        <x:v>0</x:v>
      </x:c>
      <x:c r="K137" s="12" t="n">
        <x:v>588</x:v>
      </x:c>
      <x:c r="L137" s="18" t="n">
        <x:f>'参数'!$D$5^A137*'参数'!$D$6^B137*'参数'!$D$7^C137*'参数'!$D$8^D137</x:f>
        <x:v>0.000003814697265625</x:v>
      </x:c>
      <x:c r="M137" s="18" t="n">
        <x:f>E137*L137</x:f>
        <x:v>0.0028839111328125</x:v>
      </x:c>
      <x:c r="N137" s="18" t="n">
        <x:f>F137*L137</x:f>
        <x:v>0.0022430419921875</x:v>
      </x:c>
      <x:c r="O137" s="18" t="n">
        <x:f>G137*L137</x:f>
        <x:v>0.001739501953125</x:v>
      </x:c>
      <x:c r="P137" s="18" t="n">
        <x:f>H137*L137</x:f>
        <x:v>0.0005035400390625</x:v>
      </x:c>
      <x:c r="Q137" s="18" t="n">
        <x:f>I137*L137</x:f>
        <x:v>0</x:v>
      </x:c>
      <x:c r="R137" s="18" t="n">
        <x:f>J137*L137</x:f>
        <x:v>0</x:v>
      </x:c>
      <x:c r="S137" s="18" t="n">
        <x:f>K137*L137</x:f>
        <x:v>0.0022430419921875</x:v>
      </x:c>
    </x:row>
    <x:row r="138" ht="27" customHeight="1">
      <x:c r="A138" s="13" t="n">
        <x:v>2</x:v>
      </x:c>
      <x:c r="B138" s="13" t="n">
        <x:v>6</x:v>
      </x:c>
      <x:c r="C138" s="13" t="n">
        <x:v>0</x:v>
      </x:c>
      <x:c r="D138" s="13" t="n">
        <x:v>1</x:v>
      </x:c>
      <x:c r="E138" s="13" t="n">
        <x:v>252</x:v>
      </x:c>
      <x:c r="F138" s="13" t="n">
        <x:v>246</x:v>
      </x:c>
      <x:c r="G138" s="13" t="n">
        <x:v>60</x:v>
      </x:c>
      <x:c r="H138" s="13" t="n">
        <x:v>138</x:v>
      </x:c>
      <x:c r="I138" s="13" t="n">
        <x:v>48</x:v>
      </x:c>
      <x:c r="J138" s="13" t="n">
        <x:v>0</x:v>
      </x:c>
      <x:c r="K138" s="13" t="n">
        <x:v>246</x:v>
      </x:c>
      <x:c r="L138" s="19" t="n">
        <x:f>'参数'!$D$5^A138*'参数'!$D$6^B138*'参数'!$D$7^C138*'参数'!$D$8^D138</x:f>
        <x:v>0.000003814697265625</x:v>
      </x:c>
      <x:c r="M138" s="19" t="n">
        <x:f>E138*L138</x:f>
        <x:v>0.0009613037109375</x:v>
      </x:c>
      <x:c r="N138" s="19" t="n">
        <x:f>F138*L138</x:f>
        <x:v>0.00093841552734375</x:v>
      </x:c>
      <x:c r="O138" s="19" t="n">
        <x:f>G138*L138</x:f>
        <x:v>0.0002288818359375</x:v>
      </x:c>
      <x:c r="P138" s="19" t="n">
        <x:f>H138*L138</x:f>
        <x:v>0.00052642822265625</x:v>
      </x:c>
      <x:c r="Q138" s="19" t="n">
        <x:f>I138*L138</x:f>
        <x:v>0.00018310546875</x:v>
      </x:c>
      <x:c r="R138" s="19" t="n">
        <x:f>J138*L138</x:f>
        <x:v>0</x:v>
      </x:c>
      <x:c r="S138" s="19" t="n">
        <x:f>K138*L138</x:f>
        <x:v>0.00093841552734375</x:v>
      </x:c>
    </x:row>
    <x:row r="139" ht="27" customHeight="1">
      <x:c r="A139" s="12" t="n">
        <x:v>2</x:v>
      </x:c>
      <x:c r="B139" s="12" t="n">
        <x:v>6</x:v>
      </x:c>
      <x:c r="C139" s="12" t="n">
        <x:v>1</x:v>
      </x:c>
      <x:c r="D139" s="12" t="n">
        <x:v>0</x:v>
      </x:c>
      <x:c r="E139" s="12" t="n">
        <x:v>252</x:v>
      </x:c>
      <x:c r="F139" s="12" t="n">
        <x:v>246</x:v>
      </x:c>
      <x:c r="G139" s="12" t="n">
        <x:v>60</x:v>
      </x:c>
      <x:c r="H139" s="12" t="n">
        <x:v>138</x:v>
      </x:c>
      <x:c r="I139" s="12" t="n">
        <x:v>48</x:v>
      </x:c>
      <x:c r="J139" s="12" t="n">
        <x:v>0</x:v>
      </x:c>
      <x:c r="K139" s="12" t="n">
        <x:v>246</x:v>
      </x:c>
      <x:c r="L139" s="18" t="n">
        <x:f>'参数'!$D$5^A139*'参数'!$D$6^B139*'参数'!$D$7^C139*'参数'!$D$8^D139</x:f>
        <x:v>0.000003814697265625</x:v>
      </x:c>
      <x:c r="M139" s="18" t="n">
        <x:f>E139*L139</x:f>
        <x:v>0.0009613037109375</x:v>
      </x:c>
      <x:c r="N139" s="18" t="n">
        <x:f>F139*L139</x:f>
        <x:v>0.00093841552734375</x:v>
      </x:c>
      <x:c r="O139" s="18" t="n">
        <x:f>G139*L139</x:f>
        <x:v>0.0002288818359375</x:v>
      </x:c>
      <x:c r="P139" s="18" t="n">
        <x:f>H139*L139</x:f>
        <x:v>0.00052642822265625</x:v>
      </x:c>
      <x:c r="Q139" s="18" t="n">
        <x:f>I139*L139</x:f>
        <x:v>0.00018310546875</x:v>
      </x:c>
      <x:c r="R139" s="18" t="n">
        <x:f>J139*L139</x:f>
        <x:v>0</x:v>
      </x:c>
      <x:c r="S139" s="18" t="n">
        <x:f>K139*L139</x:f>
        <x:v>0.00093841552734375</x:v>
      </x:c>
    </x:row>
    <x:row r="140" ht="27" customHeight="1">
      <x:c r="A140" s="13" t="n">
        <x:v>2</x:v>
      </x:c>
      <x:c r="B140" s="13" t="n">
        <x:v>7</x:v>
      </x:c>
      <x:c r="C140" s="13" t="n">
        <x:v>0</x:v>
      </x:c>
      <x:c r="D140" s="13" t="n">
        <x:v>0</x:v>
      </x:c>
      <x:c r="E140" s="13" t="n">
        <x:v>36</x:v>
      </x:c>
      <x:c r="F140" s="13" t="n">
        <x:v>36</x:v>
      </x:c>
      <x:c r="G140" s="13" t="n">
        <x:v>0</x:v>
      </x:c>
      <x:c r="H140" s="13" t="n">
        <x:v>4</x:v>
      </x:c>
      <x:c r="I140" s="13" t="n">
        <x:v>18</x:v>
      </x:c>
      <x:c r="J140" s="13" t="n">
        <x:v>14</x:v>
      </x:c>
      <x:c r="K140" s="13" t="n">
        <x:v>36</x:v>
      </x:c>
      <x:c r="L140" s="19" t="n">
        <x:f>'参数'!$D$5^A140*'参数'!$D$6^B140*'参数'!$D$7^C140*'参数'!$D$8^D140</x:f>
        <x:v>0.000003814697265625</x:v>
      </x:c>
      <x:c r="M140" s="19" t="n">
        <x:f>E140*L140</x:f>
        <x:v>0.0001373291015625</x:v>
      </x:c>
      <x:c r="N140" s="19" t="n">
        <x:f>F140*L140</x:f>
        <x:v>0.0001373291015625</x:v>
      </x:c>
      <x:c r="O140" s="19" t="n">
        <x:f>G140*L140</x:f>
        <x:v>0</x:v>
      </x:c>
      <x:c r="P140" s="19" t="n">
        <x:f>H140*L140</x:f>
        <x:v>0.0000152587890625</x:v>
      </x:c>
      <x:c r="Q140" s="19" t="n">
        <x:f>I140*L140</x:f>
        <x:v>0.00006866455078125</x:v>
      </x:c>
      <x:c r="R140" s="19" t="n">
        <x:f>J140*L140</x:f>
        <x:v>0.00005340576171875</x:v>
      </x:c>
      <x:c r="S140" s="19" t="n">
        <x:f>K140*L140</x:f>
        <x:v>0.0001373291015625</x:v>
      </x:c>
    </x:row>
    <x:row r="141" ht="27" customHeight="1">
      <x:c r="A141" s="12" t="n">
        <x:v>3</x:v>
      </x:c>
      <x:c r="B141" s="12" t="n">
        <x:v>0</x:v>
      </x:c>
      <x:c r="C141" s="12" t="n">
        <x:v>0</x:v>
      </x:c>
      <x:c r="D141" s="12" t="n">
        <x:v>6</x:v>
      </x:c>
      <x:c r="E141" s="12" t="n">
        <x:v>84</x:v>
      </x:c>
      <x:c r="F141" s="12" t="n">
        <x:v>84</x:v>
      </x:c>
      <x:c r="G141" s="12" t="n">
        <x:v>28</x:v>
      </x:c>
      <x:c r="H141" s="12" t="n">
        <x:v>46</x:v>
      </x:c>
      <x:c r="I141" s="12" t="n">
        <x:v>16</x:v>
      </x:c>
      <x:c r="J141" s="12" t="n">
        <x:v>0</x:v>
      </x:c>
      <x:c r="K141" s="12" t="n">
        <x:v>90</x:v>
      </x:c>
      <x:c r="L141" s="18" t="n">
        <x:f>'参数'!$D$5^A141*'参数'!$D$6^B141*'参数'!$D$7^C141*'参数'!$D$8^D141</x:f>
        <x:v>0.000003814697265625</x:v>
      </x:c>
      <x:c r="M141" s="18" t="n">
        <x:f>E141*L141</x:f>
        <x:v>0.0003204345703125</x:v>
      </x:c>
      <x:c r="N141" s="18" t="n">
        <x:f>F141*L141</x:f>
        <x:v>0.0003204345703125</x:v>
      </x:c>
      <x:c r="O141" s="18" t="n">
        <x:f>G141*L141</x:f>
        <x:v>0.0001068115234375</x:v>
      </x:c>
      <x:c r="P141" s="18" t="n">
        <x:f>H141*L141</x:f>
        <x:v>0.00017547607421875</x:v>
      </x:c>
      <x:c r="Q141" s="18" t="n">
        <x:f>I141*L141</x:f>
        <x:v>0.00006103515625</x:v>
      </x:c>
      <x:c r="R141" s="18" t="n">
        <x:f>J141*L141</x:f>
        <x:v>0</x:v>
      </x:c>
      <x:c r="S141" s="18" t="n">
        <x:f>K141*L141</x:f>
        <x:v>0.00034332275390625</x:v>
      </x:c>
    </x:row>
    <x:row r="142" ht="27" customHeight="1">
      <x:c r="A142" s="13" t="n">
        <x:v>3</x:v>
      </x:c>
      <x:c r="B142" s="13" t="n">
        <x:v>0</x:v>
      </x:c>
      <x:c r="C142" s="13" t="n">
        <x:v>1</x:v>
      </x:c>
      <x:c r="D142" s="13" t="n">
        <x:v>5</x:v>
      </x:c>
      <x:c r="E142" s="13" t="n">
        <x:v>504</x:v>
      </x:c>
      <x:c r="F142" s="13" t="n">
        <x:v>404</x:v>
      </x:c>
      <x:c r="G142" s="13" t="n">
        <x:v>352</x:v>
      </x:c>
      <x:c r="H142" s="13" t="n">
        <x:v>88</x:v>
      </x:c>
      <x:c r="I142" s="13" t="n">
        <x:v>0</x:v>
      </x:c>
      <x:c r="J142" s="13" t="n">
        <x:v>0</x:v>
      </x:c>
      <x:c r="K142" s="13" t="n">
        <x:v>440</x:v>
      </x:c>
      <x:c r="L142" s="19" t="n">
        <x:f>'参数'!$D$5^A142*'参数'!$D$6^B142*'参数'!$D$7^C142*'参数'!$D$8^D142</x:f>
        <x:v>0.000003814697265625</x:v>
      </x:c>
      <x:c r="M142" s="19" t="n">
        <x:f>E142*L142</x:f>
        <x:v>0.001922607421875</x:v>
      </x:c>
      <x:c r="N142" s="19" t="n">
        <x:f>F142*L142</x:f>
        <x:v>0.0015411376953125</x:v>
      </x:c>
      <x:c r="O142" s="19" t="n">
        <x:f>G142*L142</x:f>
        <x:v>0.0013427734375</x:v>
      </x:c>
      <x:c r="P142" s="19" t="n">
        <x:f>H142*L142</x:f>
        <x:v>0.000335693359375</x:v>
      </x:c>
      <x:c r="Q142" s="19" t="n">
        <x:f>I142*L142</x:f>
        <x:v>0</x:v>
      </x:c>
      <x:c r="R142" s="19" t="n">
        <x:f>J142*L142</x:f>
        <x:v>0</x:v>
      </x:c>
      <x:c r="S142" s="19" t="n">
        <x:f>K142*L142</x:f>
        <x:v>0.001678466796875</x:v>
      </x:c>
    </x:row>
    <x:row r="143" ht="27" customHeight="1">
      <x:c r="A143" s="12" t="n">
        <x:v>3</x:v>
      </x:c>
      <x:c r="B143" s="12" t="n">
        <x:v>0</x:v>
      </x:c>
      <x:c r="C143" s="12" t="n">
        <x:v>2</x:v>
      </x:c>
      <x:c r="D143" s="12" t="n">
        <x:v>4</x:v>
      </x:c>
      <x:c r="E143" s="12" t="n">
        <x:v>1260</x:v>
      </x:c>
      <x:c r="F143" s="12" t="n">
        <x:v>564</x:v>
      </x:c>
      <x:c r="G143" s="12" t="n">
        <x:v>600</x:v>
      </x:c>
      <x:c r="H143" s="12" t="n">
        <x:v>0</x:v>
      </x:c>
      <x:c r="I143" s="12" t="n">
        <x:v>0</x:v>
      </x:c>
      <x:c r="J143" s="12" t="n">
        <x:v>0</x:v>
      </x:c>
      <x:c r="K143" s="12" t="n">
        <x:v>600</x:v>
      </x:c>
      <x:c r="L143" s="18" t="n">
        <x:f>'参数'!$D$5^A143*'参数'!$D$6^B143*'参数'!$D$7^C143*'参数'!$D$8^D143</x:f>
        <x:v>0.000003814697265625</x:v>
      </x:c>
      <x:c r="M143" s="18" t="n">
        <x:f>E143*L143</x:f>
        <x:v>0.0048065185546875</x:v>
      </x:c>
      <x:c r="N143" s="18" t="n">
        <x:f>F143*L143</x:f>
        <x:v>0.0021514892578125</x:v>
      </x:c>
      <x:c r="O143" s="18" t="n">
        <x:f>G143*L143</x:f>
        <x:v>0.002288818359375</x:v>
      </x:c>
      <x:c r="P143" s="18" t="n">
        <x:f>H143*L143</x:f>
        <x:v>0</x:v>
      </x:c>
      <x:c r="Q143" s="18" t="n">
        <x:f>I143*L143</x:f>
        <x:v>0</x:v>
      </x:c>
      <x:c r="R143" s="18" t="n">
        <x:f>J143*L143</x:f>
        <x:v>0</x:v>
      </x:c>
      <x:c r="S143" s="18" t="n">
        <x:f>K143*L143</x:f>
        <x:v>0.002288818359375</x:v>
      </x:c>
    </x:row>
    <x:row r="144" ht="27" customHeight="1">
      <x:c r="A144" s="13" t="n">
        <x:v>3</x:v>
      </x:c>
      <x:c r="B144" s="13" t="n">
        <x:v>0</x:v>
      </x:c>
      <x:c r="C144" s="13" t="n">
        <x:v>3</x:v>
      </x:c>
      <x:c r="D144" s="13" t="n">
        <x:v>3</x:v>
      </x:c>
      <x:c r="E144" s="13" t="n">
        <x:v>1680</x:v>
      </x:c>
      <x:c r="F144" s="13" t="n">
        <x:v>456</x:v>
      </x:c>
      <x:c r="G144" s="13" t="n">
        <x:v>480</x:v>
      </x:c>
      <x:c r="H144" s="13" t="n">
        <x:v>0</x:v>
      </x:c>
      <x:c r="I144" s="13" t="n">
        <x:v>0</x:v>
      </x:c>
      <x:c r="J144" s="13" t="n">
        <x:v>0</x:v>
      </x:c>
      <x:c r="K144" s="13" t="n">
        <x:v>480</x:v>
      </x:c>
      <x:c r="L144" s="19" t="n">
        <x:f>'参数'!$D$5^A144*'参数'!$D$6^B144*'参数'!$D$7^C144*'参数'!$D$8^D144</x:f>
        <x:v>0.000003814697265625</x:v>
      </x:c>
      <x:c r="M144" s="19" t="n">
        <x:f>E144*L144</x:f>
        <x:v>0.00640869140625</x:v>
      </x:c>
      <x:c r="N144" s="19" t="n">
        <x:f>F144*L144</x:f>
        <x:v>0.001739501953125</x:v>
      </x:c>
      <x:c r="O144" s="19" t="n">
        <x:f>G144*L144</x:f>
        <x:v>0.0018310546875</x:v>
      </x:c>
      <x:c r="P144" s="19" t="n">
        <x:f>H144*L144</x:f>
        <x:v>0</x:v>
      </x:c>
      <x:c r="Q144" s="19" t="n">
        <x:f>I144*L144</x:f>
        <x:v>0</x:v>
      </x:c>
      <x:c r="R144" s="19" t="n">
        <x:f>J144*L144</x:f>
        <x:v>0</x:v>
      </x:c>
      <x:c r="S144" s="19" t="n">
        <x:f>K144*L144</x:f>
        <x:v>0.0018310546875</x:v>
      </x:c>
    </x:row>
    <x:row r="145" ht="27" customHeight="1">
      <x:c r="A145" s="12" t="n">
        <x:v>3</x:v>
      </x:c>
      <x:c r="B145" s="12" t="n">
        <x:v>0</x:v>
      </x:c>
      <x:c r="C145" s="12" t="n">
        <x:v>4</x:v>
      </x:c>
      <x:c r="D145" s="12" t="n">
        <x:v>2</x:v>
      </x:c>
      <x:c r="E145" s="12" t="n">
        <x:v>1260</x:v>
      </x:c>
      <x:c r="F145" s="12" t="n">
        <x:v>564</x:v>
      </x:c>
      <x:c r="G145" s="12" t="n">
        <x:v>600</x:v>
      </x:c>
      <x:c r="H145" s="12" t="n">
        <x:v>0</x:v>
      </x:c>
      <x:c r="I145" s="12" t="n">
        <x:v>0</x:v>
      </x:c>
      <x:c r="J145" s="12" t="n">
        <x:v>0</x:v>
      </x:c>
      <x:c r="K145" s="12" t="n">
        <x:v>600</x:v>
      </x:c>
      <x:c r="L145" s="18" t="n">
        <x:f>'参数'!$D$5^A145*'参数'!$D$6^B145*'参数'!$D$7^C145*'参数'!$D$8^D145</x:f>
        <x:v>0.000003814697265625</x:v>
      </x:c>
      <x:c r="M145" s="18" t="n">
        <x:f>E145*L145</x:f>
        <x:v>0.0048065185546875</x:v>
      </x:c>
      <x:c r="N145" s="18" t="n">
        <x:f>F145*L145</x:f>
        <x:v>0.0021514892578125</x:v>
      </x:c>
      <x:c r="O145" s="18" t="n">
        <x:f>G145*L145</x:f>
        <x:v>0.002288818359375</x:v>
      </x:c>
      <x:c r="P145" s="18" t="n">
        <x:f>H145*L145</x:f>
        <x:v>0</x:v>
      </x:c>
      <x:c r="Q145" s="18" t="n">
        <x:f>I145*L145</x:f>
        <x:v>0</x:v>
      </x:c>
      <x:c r="R145" s="18" t="n">
        <x:f>J145*L145</x:f>
        <x:v>0</x:v>
      </x:c>
      <x:c r="S145" s="18" t="n">
        <x:f>K145*L145</x:f>
        <x:v>0.002288818359375</x:v>
      </x:c>
    </x:row>
    <x:row r="146" ht="27" customHeight="1">
      <x:c r="A146" s="13" t="n">
        <x:v>3</x:v>
      </x:c>
      <x:c r="B146" s="13" t="n">
        <x:v>0</x:v>
      </x:c>
      <x:c r="C146" s="13" t="n">
        <x:v>5</x:v>
      </x:c>
      <x:c r="D146" s="13" t="n">
        <x:v>1</x:v>
      </x:c>
      <x:c r="E146" s="13" t="n">
        <x:v>504</x:v>
      </x:c>
      <x:c r="F146" s="13" t="n">
        <x:v>404</x:v>
      </x:c>
      <x:c r="G146" s="13" t="n">
        <x:v>352</x:v>
      </x:c>
      <x:c r="H146" s="13" t="n">
        <x:v>88</x:v>
      </x:c>
      <x:c r="I146" s="13" t="n">
        <x:v>0</x:v>
      </x:c>
      <x:c r="J146" s="13" t="n">
        <x:v>0</x:v>
      </x:c>
      <x:c r="K146" s="13" t="n">
        <x:v>440</x:v>
      </x:c>
      <x:c r="L146" s="19" t="n">
        <x:f>'参数'!$D$5^A146*'参数'!$D$6^B146*'参数'!$D$7^C146*'参数'!$D$8^D146</x:f>
        <x:v>0.000003814697265625</x:v>
      </x:c>
      <x:c r="M146" s="19" t="n">
        <x:f>E146*L146</x:f>
        <x:v>0.001922607421875</x:v>
      </x:c>
      <x:c r="N146" s="19" t="n">
        <x:f>F146*L146</x:f>
        <x:v>0.0015411376953125</x:v>
      </x:c>
      <x:c r="O146" s="19" t="n">
        <x:f>G146*L146</x:f>
        <x:v>0.0013427734375</x:v>
      </x:c>
      <x:c r="P146" s="19" t="n">
        <x:f>H146*L146</x:f>
        <x:v>0.000335693359375</x:v>
      </x:c>
      <x:c r="Q146" s="19" t="n">
        <x:f>I146*L146</x:f>
        <x:v>0</x:v>
      </x:c>
      <x:c r="R146" s="19" t="n">
        <x:f>J146*L146</x:f>
        <x:v>0</x:v>
      </x:c>
      <x:c r="S146" s="19" t="n">
        <x:f>K146*L146</x:f>
        <x:v>0.001678466796875</x:v>
      </x:c>
    </x:row>
    <x:row r="147" ht="27" customHeight="1">
      <x:c r="A147" s="12" t="n">
        <x:v>3</x:v>
      </x:c>
      <x:c r="B147" s="12" t="n">
        <x:v>0</x:v>
      </x:c>
      <x:c r="C147" s="12" t="n">
        <x:v>6</x:v>
      </x:c>
      <x:c r="D147" s="12" t="n">
        <x:v>0</x:v>
      </x:c>
      <x:c r="E147" s="12" t="n">
        <x:v>84</x:v>
      </x:c>
      <x:c r="F147" s="12" t="n">
        <x:v>84</x:v>
      </x:c>
      <x:c r="G147" s="12" t="n">
        <x:v>28</x:v>
      </x:c>
      <x:c r="H147" s="12" t="n">
        <x:v>46</x:v>
      </x:c>
      <x:c r="I147" s="12" t="n">
        <x:v>16</x:v>
      </x:c>
      <x:c r="J147" s="12" t="n">
        <x:v>0</x:v>
      </x:c>
      <x:c r="K147" s="12" t="n">
        <x:v>90</x:v>
      </x:c>
      <x:c r="L147" s="18" t="n">
        <x:f>'参数'!$D$5^A147*'参数'!$D$6^B147*'参数'!$D$7^C147*'参数'!$D$8^D147</x:f>
        <x:v>0.000003814697265625</x:v>
      </x:c>
      <x:c r="M147" s="18" t="n">
        <x:f>E147*L147</x:f>
        <x:v>0.0003204345703125</x:v>
      </x:c>
      <x:c r="N147" s="18" t="n">
        <x:f>F147*L147</x:f>
        <x:v>0.0003204345703125</x:v>
      </x:c>
      <x:c r="O147" s="18" t="n">
        <x:f>G147*L147</x:f>
        <x:v>0.0001068115234375</x:v>
      </x:c>
      <x:c r="P147" s="18" t="n">
        <x:f>H147*L147</x:f>
        <x:v>0.00017547607421875</x:v>
      </x:c>
      <x:c r="Q147" s="18" t="n">
        <x:f>I147*L147</x:f>
        <x:v>0.00006103515625</x:v>
      </x:c>
      <x:c r="R147" s="18" t="n">
        <x:f>J147*L147</x:f>
        <x:v>0</x:v>
      </x:c>
      <x:c r="S147" s="18" t="n">
        <x:f>K147*L147</x:f>
        <x:v>0.00034332275390625</x:v>
      </x:c>
    </x:row>
    <x:row r="148" ht="27" customHeight="1">
      <x:c r="A148" s="13" t="n">
        <x:v>3</x:v>
      </x:c>
      <x:c r="B148" s="13" t="n">
        <x:v>1</x:v>
      </x:c>
      <x:c r="C148" s="13" t="n">
        <x:v>0</x:v>
      </x:c>
      <x:c r="D148" s="13" t="n">
        <x:v>5</x:v>
      </x:c>
      <x:c r="E148" s="13" t="n">
        <x:v>504</x:v>
      </x:c>
      <x:c r="F148" s="13" t="n">
        <x:v>404</x:v>
      </x:c>
      <x:c r="G148" s="13" t="n">
        <x:v>352</x:v>
      </x:c>
      <x:c r="H148" s="13" t="n">
        <x:v>88</x:v>
      </x:c>
      <x:c r="I148" s="13" t="n">
        <x:v>0</x:v>
      </x:c>
      <x:c r="J148" s="13" t="n">
        <x:v>0</x:v>
      </x:c>
      <x:c r="K148" s="13" t="n">
        <x:v>440</x:v>
      </x:c>
      <x:c r="L148" s="19" t="n">
        <x:f>'参数'!$D$5^A148*'参数'!$D$6^B148*'参数'!$D$7^C148*'参数'!$D$8^D148</x:f>
        <x:v>0.000003814697265625</x:v>
      </x:c>
      <x:c r="M148" s="19" t="n">
        <x:f>E148*L148</x:f>
        <x:v>0.001922607421875</x:v>
      </x:c>
      <x:c r="N148" s="19" t="n">
        <x:f>F148*L148</x:f>
        <x:v>0.0015411376953125</x:v>
      </x:c>
      <x:c r="O148" s="19" t="n">
        <x:f>G148*L148</x:f>
        <x:v>0.0013427734375</x:v>
      </x:c>
      <x:c r="P148" s="19" t="n">
        <x:f>H148*L148</x:f>
        <x:v>0.000335693359375</x:v>
      </x:c>
      <x:c r="Q148" s="19" t="n">
        <x:f>I148*L148</x:f>
        <x:v>0</x:v>
      </x:c>
      <x:c r="R148" s="19" t="n">
        <x:f>J148*L148</x:f>
        <x:v>0</x:v>
      </x:c>
      <x:c r="S148" s="19" t="n">
        <x:f>K148*L148</x:f>
        <x:v>0.001678466796875</x:v>
      </x:c>
    </x:row>
    <x:row r="149" ht="27" customHeight="1">
      <x:c r="A149" s="12" t="n">
        <x:v>3</x:v>
      </x:c>
      <x:c r="B149" s="12" t="n">
        <x:v>1</x:v>
      </x:c>
      <x:c r="C149" s="12" t="n">
        <x:v>1</x:v>
      </x:c>
      <x:c r="D149" s="12" t="n">
        <x:v>4</x:v>
      </x:c>
      <x:c r="E149" s="12" t="n">
        <x:v>2520</x:v>
      </x:c>
      <x:c r="F149" s="12" t="n">
        <x:v>1128</x:v>
      </x:c>
      <x:c r="G149" s="12" t="n">
        <x:v>1200</x:v>
      </x:c>
      <x:c r="H149" s="12" t="n">
        <x:v>0</x:v>
      </x:c>
      <x:c r="I149" s="12" t="n">
        <x:v>0</x:v>
      </x:c>
      <x:c r="J149" s="12" t="n">
        <x:v>0</x:v>
      </x:c>
      <x:c r="K149" s="12" t="n">
        <x:v>1200</x:v>
      </x:c>
      <x:c r="L149" s="18" t="n">
        <x:f>'参数'!$D$5^A149*'参数'!$D$6^B149*'参数'!$D$7^C149*'参数'!$D$8^D149</x:f>
        <x:v>0.000003814697265625</x:v>
      </x:c>
      <x:c r="M149" s="18" t="n">
        <x:f>E149*L149</x:f>
        <x:v>0.009613037109375</x:v>
      </x:c>
      <x:c r="N149" s="18" t="n">
        <x:f>F149*L149</x:f>
        <x:v>0.004302978515625</x:v>
      </x:c>
      <x:c r="O149" s="18" t="n">
        <x:f>G149*L149</x:f>
        <x:v>0.00457763671875</x:v>
      </x:c>
      <x:c r="P149" s="18" t="n">
        <x:f>H149*L149</x:f>
        <x:v>0</x:v>
      </x:c>
      <x:c r="Q149" s="18" t="n">
        <x:f>I149*L149</x:f>
        <x:v>0</x:v>
      </x:c>
      <x:c r="R149" s="18" t="n">
        <x:f>J149*L149</x:f>
        <x:v>0</x:v>
      </x:c>
      <x:c r="S149" s="18" t="n">
        <x:f>K149*L149</x:f>
        <x:v>0.00457763671875</x:v>
      </x:c>
    </x:row>
    <x:row r="150" ht="27" customHeight="1">
      <x:c r="A150" s="13" t="n">
        <x:v>3</x:v>
      </x:c>
      <x:c r="B150" s="13" t="n">
        <x:v>1</x:v>
      </x:c>
      <x:c r="C150" s="13" t="n">
        <x:v>2</x:v>
      </x:c>
      <x:c r="D150" s="13" t="n">
        <x:v>3</x:v>
      </x:c>
      <x:c r="E150" s="13" t="n">
        <x:v>5040</x:v>
      </x:c>
      <x:c r="F150" s="13" t="n">
        <x:v>924</x:v>
      </x:c>
      <x:c r="G150" s="13" t="n">
        <x:v>960</x:v>
      </x:c>
      <x:c r="H150" s="13" t="n">
        <x:v>0</x:v>
      </x:c>
      <x:c r="I150" s="13" t="n">
        <x:v>0</x:v>
      </x:c>
      <x:c r="J150" s="13" t="n">
        <x:v>0</x:v>
      </x:c>
      <x:c r="K150" s="13" t="n">
        <x:v>960</x:v>
      </x:c>
      <x:c r="L150" s="19" t="n">
        <x:f>'参数'!$D$5^A150*'参数'!$D$6^B150*'参数'!$D$7^C150*'参数'!$D$8^D150</x:f>
        <x:v>0.000003814697265625</x:v>
      </x:c>
      <x:c r="M150" s="19" t="n">
        <x:f>E150*L150</x:f>
        <x:v>0.01922607421875</x:v>
      </x:c>
      <x:c r="N150" s="19" t="n">
        <x:f>F150*L150</x:f>
        <x:v>0.0035247802734375</x:v>
      </x:c>
      <x:c r="O150" s="19" t="n">
        <x:f>G150*L150</x:f>
        <x:v>0.003662109375</x:v>
      </x:c>
      <x:c r="P150" s="19" t="n">
        <x:f>H150*L150</x:f>
        <x:v>0</x:v>
      </x:c>
      <x:c r="Q150" s="19" t="n">
        <x:f>I150*L150</x:f>
        <x:v>0</x:v>
      </x:c>
      <x:c r="R150" s="19" t="n">
        <x:f>J150*L150</x:f>
        <x:v>0</x:v>
      </x:c>
      <x:c r="S150" s="19" t="n">
        <x:f>K150*L150</x:f>
        <x:v>0.003662109375</x:v>
      </x:c>
    </x:row>
    <x:row r="151" ht="27" customHeight="1">
      <x:c r="A151" s="12" t="n">
        <x:v>3</x:v>
      </x:c>
      <x:c r="B151" s="12" t="n">
        <x:v>1</x:v>
      </x:c>
      <x:c r="C151" s="12" t="n">
        <x:v>3</x:v>
      </x:c>
      <x:c r="D151" s="12" t="n">
        <x:v>2</x:v>
      </x:c>
      <x:c r="E151" s="12" t="n">
        <x:v>5040</x:v>
      </x:c>
      <x:c r="F151" s="12" t="n">
        <x:v>924</x:v>
      </x:c>
      <x:c r="G151" s="12" t="n">
        <x:v>960</x:v>
      </x:c>
      <x:c r="H151" s="12" t="n">
        <x:v>0</x:v>
      </x:c>
      <x:c r="I151" s="12" t="n">
        <x:v>0</x:v>
      </x:c>
      <x:c r="J151" s="12" t="n">
        <x:v>0</x:v>
      </x:c>
      <x:c r="K151" s="12" t="n">
        <x:v>960</x:v>
      </x:c>
      <x:c r="L151" s="18" t="n">
        <x:f>'参数'!$D$5^A151*'参数'!$D$6^B151*'参数'!$D$7^C151*'参数'!$D$8^D151</x:f>
        <x:v>0.000003814697265625</x:v>
      </x:c>
      <x:c r="M151" s="18" t="n">
        <x:f>E151*L151</x:f>
        <x:v>0.01922607421875</x:v>
      </x:c>
      <x:c r="N151" s="18" t="n">
        <x:f>F151*L151</x:f>
        <x:v>0.0035247802734375</x:v>
      </x:c>
      <x:c r="O151" s="18" t="n">
        <x:f>G151*L151</x:f>
        <x:v>0.003662109375</x:v>
      </x:c>
      <x:c r="P151" s="18" t="n">
        <x:f>H151*L151</x:f>
        <x:v>0</x:v>
      </x:c>
      <x:c r="Q151" s="18" t="n">
        <x:f>I151*L151</x:f>
        <x:v>0</x:v>
      </x:c>
      <x:c r="R151" s="18" t="n">
        <x:f>J151*L151</x:f>
        <x:v>0</x:v>
      </x:c>
      <x:c r="S151" s="18" t="n">
        <x:f>K151*L151</x:f>
        <x:v>0.003662109375</x:v>
      </x:c>
    </x:row>
    <x:row r="152" ht="27" customHeight="1">
      <x:c r="A152" s="13" t="n">
        <x:v>3</x:v>
      </x:c>
      <x:c r="B152" s="13" t="n">
        <x:v>1</x:v>
      </x:c>
      <x:c r="C152" s="13" t="n">
        <x:v>4</x:v>
      </x:c>
      <x:c r="D152" s="13" t="n">
        <x:v>1</x:v>
      </x:c>
      <x:c r="E152" s="13" t="n">
        <x:v>2520</x:v>
      </x:c>
      <x:c r="F152" s="13" t="n">
        <x:v>1128</x:v>
      </x:c>
      <x:c r="G152" s="13" t="n">
        <x:v>1200</x:v>
      </x:c>
      <x:c r="H152" s="13" t="n">
        <x:v>0</x:v>
      </x:c>
      <x:c r="I152" s="13" t="n">
        <x:v>0</x:v>
      </x:c>
      <x:c r="J152" s="13" t="n">
        <x:v>0</x:v>
      </x:c>
      <x:c r="K152" s="13" t="n">
        <x:v>1200</x:v>
      </x:c>
      <x:c r="L152" s="19" t="n">
        <x:f>'参数'!$D$5^A152*'参数'!$D$6^B152*'参数'!$D$7^C152*'参数'!$D$8^D152</x:f>
        <x:v>0.000003814697265625</x:v>
      </x:c>
      <x:c r="M152" s="19" t="n">
        <x:f>E152*L152</x:f>
        <x:v>0.009613037109375</x:v>
      </x:c>
      <x:c r="N152" s="19" t="n">
        <x:f>F152*L152</x:f>
        <x:v>0.004302978515625</x:v>
      </x:c>
      <x:c r="O152" s="19" t="n">
        <x:f>G152*L152</x:f>
        <x:v>0.00457763671875</x:v>
      </x:c>
      <x:c r="P152" s="19" t="n">
        <x:f>H152*L152</x:f>
        <x:v>0</x:v>
      </x:c>
      <x:c r="Q152" s="19" t="n">
        <x:f>I152*L152</x:f>
        <x:v>0</x:v>
      </x:c>
      <x:c r="R152" s="19" t="n">
        <x:f>J152*L152</x:f>
        <x:v>0</x:v>
      </x:c>
      <x:c r="S152" s="19" t="n">
        <x:f>K152*L152</x:f>
        <x:v>0.00457763671875</x:v>
      </x:c>
    </x:row>
    <x:row r="153" ht="27" customHeight="1">
      <x:c r="A153" s="12" t="n">
        <x:v>3</x:v>
      </x:c>
      <x:c r="B153" s="12" t="n">
        <x:v>1</x:v>
      </x:c>
      <x:c r="C153" s="12" t="n">
        <x:v>5</x:v>
      </x:c>
      <x:c r="D153" s="12" t="n">
        <x:v>0</x:v>
      </x:c>
      <x:c r="E153" s="12" t="n">
        <x:v>504</x:v>
      </x:c>
      <x:c r="F153" s="12" t="n">
        <x:v>404</x:v>
      </x:c>
      <x:c r="G153" s="12" t="n">
        <x:v>352</x:v>
      </x:c>
      <x:c r="H153" s="12" t="n">
        <x:v>88</x:v>
      </x:c>
      <x:c r="I153" s="12" t="n">
        <x:v>0</x:v>
      </x:c>
      <x:c r="J153" s="12" t="n">
        <x:v>0</x:v>
      </x:c>
      <x:c r="K153" s="12" t="n">
        <x:v>440</x:v>
      </x:c>
      <x:c r="L153" s="18" t="n">
        <x:f>'参数'!$D$5^A153*'参数'!$D$6^B153*'参数'!$D$7^C153*'参数'!$D$8^D153</x:f>
        <x:v>0.000003814697265625</x:v>
      </x:c>
      <x:c r="M153" s="18" t="n">
        <x:f>E153*L153</x:f>
        <x:v>0.001922607421875</x:v>
      </x:c>
      <x:c r="N153" s="18" t="n">
        <x:f>F153*L153</x:f>
        <x:v>0.0015411376953125</x:v>
      </x:c>
      <x:c r="O153" s="18" t="n">
        <x:f>G153*L153</x:f>
        <x:v>0.0013427734375</x:v>
      </x:c>
      <x:c r="P153" s="18" t="n">
        <x:f>H153*L153</x:f>
        <x:v>0.000335693359375</x:v>
      </x:c>
      <x:c r="Q153" s="18" t="n">
        <x:f>I153*L153</x:f>
        <x:v>0</x:v>
      </x:c>
      <x:c r="R153" s="18" t="n">
        <x:f>J153*L153</x:f>
        <x:v>0</x:v>
      </x:c>
      <x:c r="S153" s="18" t="n">
        <x:f>K153*L153</x:f>
        <x:v>0.001678466796875</x:v>
      </x:c>
    </x:row>
    <x:row r="154" ht="27" customHeight="1">
      <x:c r="A154" s="13" t="n">
        <x:v>3</x:v>
      </x:c>
      <x:c r="B154" s="13" t="n">
        <x:v>2</x:v>
      </x:c>
      <x:c r="C154" s="13" t="n">
        <x:v>0</x:v>
      </x:c>
      <x:c r="D154" s="13" t="n">
        <x:v>4</x:v>
      </x:c>
      <x:c r="E154" s="13" t="n">
        <x:v>1260</x:v>
      </x:c>
      <x:c r="F154" s="13" t="n">
        <x:v>564</x:v>
      </x:c>
      <x:c r="G154" s="13" t="n">
        <x:v>600</x:v>
      </x:c>
      <x:c r="H154" s="13" t="n">
        <x:v>0</x:v>
      </x:c>
      <x:c r="I154" s="13" t="n">
        <x:v>0</x:v>
      </x:c>
      <x:c r="J154" s="13" t="n">
        <x:v>0</x:v>
      </x:c>
      <x:c r="K154" s="13" t="n">
        <x:v>600</x:v>
      </x:c>
      <x:c r="L154" s="19" t="n">
        <x:f>'参数'!$D$5^A154*'参数'!$D$6^B154*'参数'!$D$7^C154*'参数'!$D$8^D154</x:f>
        <x:v>0.000003814697265625</x:v>
      </x:c>
      <x:c r="M154" s="19" t="n">
        <x:f>E154*L154</x:f>
        <x:v>0.0048065185546875</x:v>
      </x:c>
      <x:c r="N154" s="19" t="n">
        <x:f>F154*L154</x:f>
        <x:v>0.0021514892578125</x:v>
      </x:c>
      <x:c r="O154" s="19" t="n">
        <x:f>G154*L154</x:f>
        <x:v>0.002288818359375</x:v>
      </x:c>
      <x:c r="P154" s="19" t="n">
        <x:f>H154*L154</x:f>
        <x:v>0</x:v>
      </x:c>
      <x:c r="Q154" s="19" t="n">
        <x:f>I154*L154</x:f>
        <x:v>0</x:v>
      </x:c>
      <x:c r="R154" s="19" t="n">
        <x:f>J154*L154</x:f>
        <x:v>0</x:v>
      </x:c>
      <x:c r="S154" s="19" t="n">
        <x:f>K154*L154</x:f>
        <x:v>0.002288818359375</x:v>
      </x:c>
    </x:row>
    <x:row r="155" ht="27" customHeight="1">
      <x:c r="A155" s="12" t="n">
        <x:v>3</x:v>
      </x:c>
      <x:c r="B155" s="12" t="n">
        <x:v>2</x:v>
      </x:c>
      <x:c r="C155" s="12" t="n">
        <x:v>1</x:v>
      </x:c>
      <x:c r="D155" s="12" t="n">
        <x:v>3</x:v>
      </x:c>
      <x:c r="E155" s="12" t="n">
        <x:v>5040</x:v>
      </x:c>
      <x:c r="F155" s="12" t="n">
        <x:v>924</x:v>
      </x:c>
      <x:c r="G155" s="12" t="n">
        <x:v>960</x:v>
      </x:c>
      <x:c r="H155" s="12" t="n">
        <x:v>0</x:v>
      </x:c>
      <x:c r="I155" s="12" t="n">
        <x:v>0</x:v>
      </x:c>
      <x:c r="J155" s="12" t="n">
        <x:v>0</x:v>
      </x:c>
      <x:c r="K155" s="12" t="n">
        <x:v>960</x:v>
      </x:c>
      <x:c r="L155" s="18" t="n">
        <x:f>'参数'!$D$5^A155*'参数'!$D$6^B155*'参数'!$D$7^C155*'参数'!$D$8^D155</x:f>
        <x:v>0.000003814697265625</x:v>
      </x:c>
      <x:c r="M155" s="18" t="n">
        <x:f>E155*L155</x:f>
        <x:v>0.01922607421875</x:v>
      </x:c>
      <x:c r="N155" s="18" t="n">
        <x:f>F155*L155</x:f>
        <x:v>0.0035247802734375</x:v>
      </x:c>
      <x:c r="O155" s="18" t="n">
        <x:f>G155*L155</x:f>
        <x:v>0.003662109375</x:v>
      </x:c>
      <x:c r="P155" s="18" t="n">
        <x:f>H155*L155</x:f>
        <x:v>0</x:v>
      </x:c>
      <x:c r="Q155" s="18" t="n">
        <x:f>I155*L155</x:f>
        <x:v>0</x:v>
      </x:c>
      <x:c r="R155" s="18" t="n">
        <x:f>J155*L155</x:f>
        <x:v>0</x:v>
      </x:c>
      <x:c r="S155" s="18" t="n">
        <x:f>K155*L155</x:f>
        <x:v>0.003662109375</x:v>
      </x:c>
    </x:row>
    <x:row r="156" ht="27" customHeight="1">
      <x:c r="A156" s="13" t="n">
        <x:v>3</x:v>
      </x:c>
      <x:c r="B156" s="13" t="n">
        <x:v>2</x:v>
      </x:c>
      <x:c r="C156" s="13" t="n">
        <x:v>2</x:v>
      </x:c>
      <x:c r="D156" s="13" t="n">
        <x:v>2</x:v>
      </x:c>
      <x:c r="E156" s="13" t="n">
        <x:v>7560</x:v>
      </x:c>
      <x:c r="F156" s="13" t="n">
        <x:v>720</x:v>
      </x:c>
      <x:c r="G156" s="13" t="n">
        <x:v>720</x:v>
      </x:c>
      <x:c r="H156" s="13" t="n">
        <x:v>0</x:v>
      </x:c>
      <x:c r="I156" s="13" t="n">
        <x:v>0</x:v>
      </x:c>
      <x:c r="J156" s="13" t="n">
        <x:v>0</x:v>
      </x:c>
      <x:c r="K156" s="13" t="n">
        <x:v>720</x:v>
      </x:c>
      <x:c r="L156" s="19" t="n">
        <x:f>'参数'!$D$5^A156*'参数'!$D$6^B156*'参数'!$D$7^C156*'参数'!$D$8^D156</x:f>
        <x:v>0.000003814697265625</x:v>
      </x:c>
      <x:c r="M156" s="19" t="n">
        <x:f>E156*L156</x:f>
        <x:v>0.028839111328125</x:v>
      </x:c>
      <x:c r="N156" s="19" t="n">
        <x:f>F156*L156</x:f>
        <x:v>0.00274658203125</x:v>
      </x:c>
      <x:c r="O156" s="19" t="n">
        <x:f>G156*L156</x:f>
        <x:v>0.00274658203125</x:v>
      </x:c>
      <x:c r="P156" s="19" t="n">
        <x:f>H156*L156</x:f>
        <x:v>0</x:v>
      </x:c>
      <x:c r="Q156" s="19" t="n">
        <x:f>I156*L156</x:f>
        <x:v>0</x:v>
      </x:c>
      <x:c r="R156" s="19" t="n">
        <x:f>J156*L156</x:f>
        <x:v>0</x:v>
      </x:c>
      <x:c r="S156" s="19" t="n">
        <x:f>K156*L156</x:f>
        <x:v>0.00274658203125</x:v>
      </x:c>
    </x:row>
    <x:row r="157" ht="27" customHeight="1">
      <x:c r="A157" s="12" t="n">
        <x:v>3</x:v>
      </x:c>
      <x:c r="B157" s="12" t="n">
        <x:v>2</x:v>
      </x:c>
      <x:c r="C157" s="12" t="n">
        <x:v>3</x:v>
      </x:c>
      <x:c r="D157" s="12" t="n">
        <x:v>1</x:v>
      </x:c>
      <x:c r="E157" s="12" t="n">
        <x:v>5040</x:v>
      </x:c>
      <x:c r="F157" s="12" t="n">
        <x:v>924</x:v>
      </x:c>
      <x:c r="G157" s="12" t="n">
        <x:v>960</x:v>
      </x:c>
      <x:c r="H157" s="12" t="n">
        <x:v>0</x:v>
      </x:c>
      <x:c r="I157" s="12" t="n">
        <x:v>0</x:v>
      </x:c>
      <x:c r="J157" s="12" t="n">
        <x:v>0</x:v>
      </x:c>
      <x:c r="K157" s="12" t="n">
        <x:v>960</x:v>
      </x:c>
      <x:c r="L157" s="18" t="n">
        <x:f>'参数'!$D$5^A157*'参数'!$D$6^B157*'参数'!$D$7^C157*'参数'!$D$8^D157</x:f>
        <x:v>0.000003814697265625</x:v>
      </x:c>
      <x:c r="M157" s="18" t="n">
        <x:f>E157*L157</x:f>
        <x:v>0.01922607421875</x:v>
      </x:c>
      <x:c r="N157" s="18" t="n">
        <x:f>F157*L157</x:f>
        <x:v>0.0035247802734375</x:v>
      </x:c>
      <x:c r="O157" s="18" t="n">
        <x:f>G157*L157</x:f>
        <x:v>0.003662109375</x:v>
      </x:c>
      <x:c r="P157" s="18" t="n">
        <x:f>H157*L157</x:f>
        <x:v>0</x:v>
      </x:c>
      <x:c r="Q157" s="18" t="n">
        <x:f>I157*L157</x:f>
        <x:v>0</x:v>
      </x:c>
      <x:c r="R157" s="18" t="n">
        <x:f>J157*L157</x:f>
        <x:v>0</x:v>
      </x:c>
      <x:c r="S157" s="18" t="n">
        <x:f>K157*L157</x:f>
        <x:v>0.003662109375</x:v>
      </x:c>
    </x:row>
    <x:row r="158" ht="27" customHeight="1">
      <x:c r="A158" s="13" t="n">
        <x:v>3</x:v>
      </x:c>
      <x:c r="B158" s="13" t="n">
        <x:v>2</x:v>
      </x:c>
      <x:c r="C158" s="13" t="n">
        <x:v>4</x:v>
      </x:c>
      <x:c r="D158" s="13" t="n">
        <x:v>0</x:v>
      </x:c>
      <x:c r="E158" s="13" t="n">
        <x:v>1260</x:v>
      </x:c>
      <x:c r="F158" s="13" t="n">
        <x:v>564</x:v>
      </x:c>
      <x:c r="G158" s="13" t="n">
        <x:v>600</x:v>
      </x:c>
      <x:c r="H158" s="13" t="n">
        <x:v>0</x:v>
      </x:c>
      <x:c r="I158" s="13" t="n">
        <x:v>0</x:v>
      </x:c>
      <x:c r="J158" s="13" t="n">
        <x:v>0</x:v>
      </x:c>
      <x:c r="K158" s="13" t="n">
        <x:v>600</x:v>
      </x:c>
      <x:c r="L158" s="19" t="n">
        <x:f>'参数'!$D$5^A158*'参数'!$D$6^B158*'参数'!$D$7^C158*'参数'!$D$8^D158</x:f>
        <x:v>0.000003814697265625</x:v>
      </x:c>
      <x:c r="M158" s="19" t="n">
        <x:f>E158*L158</x:f>
        <x:v>0.0048065185546875</x:v>
      </x:c>
      <x:c r="N158" s="19" t="n">
        <x:f>F158*L158</x:f>
        <x:v>0.0021514892578125</x:v>
      </x:c>
      <x:c r="O158" s="19" t="n">
        <x:f>G158*L158</x:f>
        <x:v>0.002288818359375</x:v>
      </x:c>
      <x:c r="P158" s="19" t="n">
        <x:f>H158*L158</x:f>
        <x:v>0</x:v>
      </x:c>
      <x:c r="Q158" s="19" t="n">
        <x:f>I158*L158</x:f>
        <x:v>0</x:v>
      </x:c>
      <x:c r="R158" s="19" t="n">
        <x:f>J158*L158</x:f>
        <x:v>0</x:v>
      </x:c>
      <x:c r="S158" s="19" t="n">
        <x:f>K158*L158</x:f>
        <x:v>0.002288818359375</x:v>
      </x:c>
    </x:row>
    <x:row r="159" ht="27" customHeight="1">
      <x:c r="A159" s="12" t="n">
        <x:v>3</x:v>
      </x:c>
      <x:c r="B159" s="12" t="n">
        <x:v>3</x:v>
      </x:c>
      <x:c r="C159" s="12" t="n">
        <x:v>0</x:v>
      </x:c>
      <x:c r="D159" s="12" t="n">
        <x:v>3</x:v>
      </x:c>
      <x:c r="E159" s="12" t="n">
        <x:v>1680</x:v>
      </x:c>
      <x:c r="F159" s="12" t="n">
        <x:v>456</x:v>
      </x:c>
      <x:c r="G159" s="12" t="n">
        <x:v>480</x:v>
      </x:c>
      <x:c r="H159" s="12" t="n">
        <x:v>0</x:v>
      </x:c>
      <x:c r="I159" s="12" t="n">
        <x:v>0</x:v>
      </x:c>
      <x:c r="J159" s="12" t="n">
        <x:v>0</x:v>
      </x:c>
      <x:c r="K159" s="12" t="n">
        <x:v>480</x:v>
      </x:c>
      <x:c r="L159" s="18" t="n">
        <x:f>'参数'!$D$5^A159*'参数'!$D$6^B159*'参数'!$D$7^C159*'参数'!$D$8^D159</x:f>
        <x:v>0.000003814697265625</x:v>
      </x:c>
      <x:c r="M159" s="18" t="n">
        <x:f>E159*L159</x:f>
        <x:v>0.00640869140625</x:v>
      </x:c>
      <x:c r="N159" s="18" t="n">
        <x:f>F159*L159</x:f>
        <x:v>0.001739501953125</x:v>
      </x:c>
      <x:c r="O159" s="18" t="n">
        <x:f>G159*L159</x:f>
        <x:v>0.0018310546875</x:v>
      </x:c>
      <x:c r="P159" s="18" t="n">
        <x:f>H159*L159</x:f>
        <x:v>0</x:v>
      </x:c>
      <x:c r="Q159" s="18" t="n">
        <x:f>I159*L159</x:f>
        <x:v>0</x:v>
      </x:c>
      <x:c r="R159" s="18" t="n">
        <x:f>J159*L159</x:f>
        <x:v>0</x:v>
      </x:c>
      <x:c r="S159" s="18" t="n">
        <x:f>K159*L159</x:f>
        <x:v>0.0018310546875</x:v>
      </x:c>
    </x:row>
    <x:row r="160" ht="27" customHeight="1">
      <x:c r="A160" s="13" t="n">
        <x:v>3</x:v>
      </x:c>
      <x:c r="B160" s="13" t="n">
        <x:v>3</x:v>
      </x:c>
      <x:c r="C160" s="13" t="n">
        <x:v>1</x:v>
      </x:c>
      <x:c r="D160" s="13" t="n">
        <x:v>2</x:v>
      </x:c>
      <x:c r="E160" s="13" t="n">
        <x:v>5040</x:v>
      </x:c>
      <x:c r="F160" s="13" t="n">
        <x:v>924</x:v>
      </x:c>
      <x:c r="G160" s="13" t="n">
        <x:v>960</x:v>
      </x:c>
      <x:c r="H160" s="13" t="n">
        <x:v>0</x:v>
      </x:c>
      <x:c r="I160" s="13" t="n">
        <x:v>0</x:v>
      </x:c>
      <x:c r="J160" s="13" t="n">
        <x:v>0</x:v>
      </x:c>
      <x:c r="K160" s="13" t="n">
        <x:v>960</x:v>
      </x:c>
      <x:c r="L160" s="19" t="n">
        <x:f>'参数'!$D$5^A160*'参数'!$D$6^B160*'参数'!$D$7^C160*'参数'!$D$8^D160</x:f>
        <x:v>0.000003814697265625</x:v>
      </x:c>
      <x:c r="M160" s="19" t="n">
        <x:f>E160*L160</x:f>
        <x:v>0.01922607421875</x:v>
      </x:c>
      <x:c r="N160" s="19" t="n">
        <x:f>F160*L160</x:f>
        <x:v>0.0035247802734375</x:v>
      </x:c>
      <x:c r="O160" s="19" t="n">
        <x:f>G160*L160</x:f>
        <x:v>0.003662109375</x:v>
      </x:c>
      <x:c r="P160" s="19" t="n">
        <x:f>H160*L160</x:f>
        <x:v>0</x:v>
      </x:c>
      <x:c r="Q160" s="19" t="n">
        <x:f>I160*L160</x:f>
        <x:v>0</x:v>
      </x:c>
      <x:c r="R160" s="19" t="n">
        <x:f>J160*L160</x:f>
        <x:v>0</x:v>
      </x:c>
      <x:c r="S160" s="19" t="n">
        <x:f>K160*L160</x:f>
        <x:v>0.003662109375</x:v>
      </x:c>
    </x:row>
    <x:row r="161" ht="27" customHeight="1">
      <x:c r="A161" s="12" t="n">
        <x:v>3</x:v>
      </x:c>
      <x:c r="B161" s="12" t="n">
        <x:v>3</x:v>
      </x:c>
      <x:c r="C161" s="12" t="n">
        <x:v>2</x:v>
      </x:c>
      <x:c r="D161" s="12" t="n">
        <x:v>1</x:v>
      </x:c>
      <x:c r="E161" s="12" t="n">
        <x:v>5040</x:v>
      </x:c>
      <x:c r="F161" s="12" t="n">
        <x:v>924</x:v>
      </x:c>
      <x:c r="G161" s="12" t="n">
        <x:v>960</x:v>
      </x:c>
      <x:c r="H161" s="12" t="n">
        <x:v>0</x:v>
      </x:c>
      <x:c r="I161" s="12" t="n">
        <x:v>0</x:v>
      </x:c>
      <x:c r="J161" s="12" t="n">
        <x:v>0</x:v>
      </x:c>
      <x:c r="K161" s="12" t="n">
        <x:v>960</x:v>
      </x:c>
      <x:c r="L161" s="18" t="n">
        <x:f>'参数'!$D$5^A161*'参数'!$D$6^B161*'参数'!$D$7^C161*'参数'!$D$8^D161</x:f>
        <x:v>0.000003814697265625</x:v>
      </x:c>
      <x:c r="M161" s="18" t="n">
        <x:f>E161*L161</x:f>
        <x:v>0.01922607421875</x:v>
      </x:c>
      <x:c r="N161" s="18" t="n">
        <x:f>F161*L161</x:f>
        <x:v>0.0035247802734375</x:v>
      </x:c>
      <x:c r="O161" s="18" t="n">
        <x:f>G161*L161</x:f>
        <x:v>0.003662109375</x:v>
      </x:c>
      <x:c r="P161" s="18" t="n">
        <x:f>H161*L161</x:f>
        <x:v>0</x:v>
      </x:c>
      <x:c r="Q161" s="18" t="n">
        <x:f>I161*L161</x:f>
        <x:v>0</x:v>
      </x:c>
      <x:c r="R161" s="18" t="n">
        <x:f>J161*L161</x:f>
        <x:v>0</x:v>
      </x:c>
      <x:c r="S161" s="18" t="n">
        <x:f>K161*L161</x:f>
        <x:v>0.003662109375</x:v>
      </x:c>
    </x:row>
    <x:row r="162" ht="27" customHeight="1">
      <x:c r="A162" s="13" t="n">
        <x:v>3</x:v>
      </x:c>
      <x:c r="B162" s="13" t="n">
        <x:v>3</x:v>
      </x:c>
      <x:c r="C162" s="13" t="n">
        <x:v>3</x:v>
      </x:c>
      <x:c r="D162" s="13" t="n">
        <x:v>0</x:v>
      </x:c>
      <x:c r="E162" s="13" t="n">
        <x:v>1680</x:v>
      </x:c>
      <x:c r="F162" s="13" t="n">
        <x:v>456</x:v>
      </x:c>
      <x:c r="G162" s="13" t="n">
        <x:v>480</x:v>
      </x:c>
      <x:c r="H162" s="13" t="n">
        <x:v>0</x:v>
      </x:c>
      <x:c r="I162" s="13" t="n">
        <x:v>0</x:v>
      </x:c>
      <x:c r="J162" s="13" t="n">
        <x:v>0</x:v>
      </x:c>
      <x:c r="K162" s="13" t="n">
        <x:v>480</x:v>
      </x:c>
      <x:c r="L162" s="19" t="n">
        <x:f>'参数'!$D$5^A162*'参数'!$D$6^B162*'参数'!$D$7^C162*'参数'!$D$8^D162</x:f>
        <x:v>0.000003814697265625</x:v>
      </x:c>
      <x:c r="M162" s="19" t="n">
        <x:f>E162*L162</x:f>
        <x:v>0.00640869140625</x:v>
      </x:c>
      <x:c r="N162" s="19" t="n">
        <x:f>F162*L162</x:f>
        <x:v>0.001739501953125</x:v>
      </x:c>
      <x:c r="O162" s="19" t="n">
        <x:f>G162*L162</x:f>
        <x:v>0.0018310546875</x:v>
      </x:c>
      <x:c r="P162" s="19" t="n">
        <x:f>H162*L162</x:f>
        <x:v>0</x:v>
      </x:c>
      <x:c r="Q162" s="19" t="n">
        <x:f>I162*L162</x:f>
        <x:v>0</x:v>
      </x:c>
      <x:c r="R162" s="19" t="n">
        <x:f>J162*L162</x:f>
        <x:v>0</x:v>
      </x:c>
      <x:c r="S162" s="19" t="n">
        <x:f>K162*L162</x:f>
        <x:v>0.0018310546875</x:v>
      </x:c>
    </x:row>
    <x:row r="163" ht="27" customHeight="1">
      <x:c r="A163" s="12" t="n">
        <x:v>3</x:v>
      </x:c>
      <x:c r="B163" s="12" t="n">
        <x:v>4</x:v>
      </x:c>
      <x:c r="C163" s="12" t="n">
        <x:v>0</x:v>
      </x:c>
      <x:c r="D163" s="12" t="n">
        <x:v>2</x:v>
      </x:c>
      <x:c r="E163" s="12" t="n">
        <x:v>1260</x:v>
      </x:c>
      <x:c r="F163" s="12" t="n">
        <x:v>564</x:v>
      </x:c>
      <x:c r="G163" s="12" t="n">
        <x:v>600</x:v>
      </x:c>
      <x:c r="H163" s="12" t="n">
        <x:v>0</x:v>
      </x:c>
      <x:c r="I163" s="12" t="n">
        <x:v>0</x:v>
      </x:c>
      <x:c r="J163" s="12" t="n">
        <x:v>0</x:v>
      </x:c>
      <x:c r="K163" s="12" t="n">
        <x:v>600</x:v>
      </x:c>
      <x:c r="L163" s="18" t="n">
        <x:f>'参数'!$D$5^A163*'参数'!$D$6^B163*'参数'!$D$7^C163*'参数'!$D$8^D163</x:f>
        <x:v>0.000003814697265625</x:v>
      </x:c>
      <x:c r="M163" s="18" t="n">
        <x:f>E163*L163</x:f>
        <x:v>0.0048065185546875</x:v>
      </x:c>
      <x:c r="N163" s="18" t="n">
        <x:f>F163*L163</x:f>
        <x:v>0.0021514892578125</x:v>
      </x:c>
      <x:c r="O163" s="18" t="n">
        <x:f>G163*L163</x:f>
        <x:v>0.002288818359375</x:v>
      </x:c>
      <x:c r="P163" s="18" t="n">
        <x:f>H163*L163</x:f>
        <x:v>0</x:v>
      </x:c>
      <x:c r="Q163" s="18" t="n">
        <x:f>I163*L163</x:f>
        <x:v>0</x:v>
      </x:c>
      <x:c r="R163" s="18" t="n">
        <x:f>J163*L163</x:f>
        <x:v>0</x:v>
      </x:c>
      <x:c r="S163" s="18" t="n">
        <x:f>K163*L163</x:f>
        <x:v>0.002288818359375</x:v>
      </x:c>
    </x:row>
    <x:row r="164" ht="27" customHeight="1">
      <x:c r="A164" s="13" t="n">
        <x:v>3</x:v>
      </x:c>
      <x:c r="B164" s="13" t="n">
        <x:v>4</x:v>
      </x:c>
      <x:c r="C164" s="13" t="n">
        <x:v>1</x:v>
      </x:c>
      <x:c r="D164" s="13" t="n">
        <x:v>1</x:v>
      </x:c>
      <x:c r="E164" s="13" t="n">
        <x:v>2520</x:v>
      </x:c>
      <x:c r="F164" s="13" t="n">
        <x:v>1128</x:v>
      </x:c>
      <x:c r="G164" s="13" t="n">
        <x:v>1200</x:v>
      </x:c>
      <x:c r="H164" s="13" t="n">
        <x:v>0</x:v>
      </x:c>
      <x:c r="I164" s="13" t="n">
        <x:v>0</x:v>
      </x:c>
      <x:c r="J164" s="13" t="n">
        <x:v>0</x:v>
      </x:c>
      <x:c r="K164" s="13" t="n">
        <x:v>1200</x:v>
      </x:c>
      <x:c r="L164" s="19" t="n">
        <x:f>'参数'!$D$5^A164*'参数'!$D$6^B164*'参数'!$D$7^C164*'参数'!$D$8^D164</x:f>
        <x:v>0.000003814697265625</x:v>
      </x:c>
      <x:c r="M164" s="19" t="n">
        <x:f>E164*L164</x:f>
        <x:v>0.009613037109375</x:v>
      </x:c>
      <x:c r="N164" s="19" t="n">
        <x:f>F164*L164</x:f>
        <x:v>0.004302978515625</x:v>
      </x:c>
      <x:c r="O164" s="19" t="n">
        <x:f>G164*L164</x:f>
        <x:v>0.00457763671875</x:v>
      </x:c>
      <x:c r="P164" s="19" t="n">
        <x:f>H164*L164</x:f>
        <x:v>0</x:v>
      </x:c>
      <x:c r="Q164" s="19" t="n">
        <x:f>I164*L164</x:f>
        <x:v>0</x:v>
      </x:c>
      <x:c r="R164" s="19" t="n">
        <x:f>J164*L164</x:f>
        <x:v>0</x:v>
      </x:c>
      <x:c r="S164" s="19" t="n">
        <x:f>K164*L164</x:f>
        <x:v>0.00457763671875</x:v>
      </x:c>
    </x:row>
    <x:row r="165" ht="27" customHeight="1">
      <x:c r="A165" s="12" t="n">
        <x:v>3</x:v>
      </x:c>
      <x:c r="B165" s="12" t="n">
        <x:v>4</x:v>
      </x:c>
      <x:c r="C165" s="12" t="n">
        <x:v>2</x:v>
      </x:c>
      <x:c r="D165" s="12" t="n">
        <x:v>0</x:v>
      </x:c>
      <x:c r="E165" s="12" t="n">
        <x:v>1260</x:v>
      </x:c>
      <x:c r="F165" s="12" t="n">
        <x:v>564</x:v>
      </x:c>
      <x:c r="G165" s="12" t="n">
        <x:v>600</x:v>
      </x:c>
      <x:c r="H165" s="12" t="n">
        <x:v>0</x:v>
      </x:c>
      <x:c r="I165" s="12" t="n">
        <x:v>0</x:v>
      </x:c>
      <x:c r="J165" s="12" t="n">
        <x:v>0</x:v>
      </x:c>
      <x:c r="K165" s="12" t="n">
        <x:v>600</x:v>
      </x:c>
      <x:c r="L165" s="18" t="n">
        <x:f>'参数'!$D$5^A165*'参数'!$D$6^B165*'参数'!$D$7^C165*'参数'!$D$8^D165</x:f>
        <x:v>0.000003814697265625</x:v>
      </x:c>
      <x:c r="M165" s="18" t="n">
        <x:f>E165*L165</x:f>
        <x:v>0.0048065185546875</x:v>
      </x:c>
      <x:c r="N165" s="18" t="n">
        <x:f>F165*L165</x:f>
        <x:v>0.0021514892578125</x:v>
      </x:c>
      <x:c r="O165" s="18" t="n">
        <x:f>G165*L165</x:f>
        <x:v>0.002288818359375</x:v>
      </x:c>
      <x:c r="P165" s="18" t="n">
        <x:f>H165*L165</x:f>
        <x:v>0</x:v>
      </x:c>
      <x:c r="Q165" s="18" t="n">
        <x:f>I165*L165</x:f>
        <x:v>0</x:v>
      </x:c>
      <x:c r="R165" s="18" t="n">
        <x:f>J165*L165</x:f>
        <x:v>0</x:v>
      </x:c>
      <x:c r="S165" s="18" t="n">
        <x:f>K165*L165</x:f>
        <x:v>0.002288818359375</x:v>
      </x:c>
    </x:row>
    <x:row r="166" ht="27" customHeight="1">
      <x:c r="A166" s="13" t="n">
        <x:v>3</x:v>
      </x:c>
      <x:c r="B166" s="13" t="n">
        <x:v>5</x:v>
      </x:c>
      <x:c r="C166" s="13" t="n">
        <x:v>0</x:v>
      </x:c>
      <x:c r="D166" s="13" t="n">
        <x:v>1</x:v>
      </x:c>
      <x:c r="E166" s="13" t="n">
        <x:v>504</x:v>
      </x:c>
      <x:c r="F166" s="13" t="n">
        <x:v>404</x:v>
      </x:c>
      <x:c r="G166" s="13" t="n">
        <x:v>352</x:v>
      </x:c>
      <x:c r="H166" s="13" t="n">
        <x:v>88</x:v>
      </x:c>
      <x:c r="I166" s="13" t="n">
        <x:v>0</x:v>
      </x:c>
      <x:c r="J166" s="13" t="n">
        <x:v>0</x:v>
      </x:c>
      <x:c r="K166" s="13" t="n">
        <x:v>440</x:v>
      </x:c>
      <x:c r="L166" s="19" t="n">
        <x:f>'参数'!$D$5^A166*'参数'!$D$6^B166*'参数'!$D$7^C166*'参数'!$D$8^D166</x:f>
        <x:v>0.000003814697265625</x:v>
      </x:c>
      <x:c r="M166" s="19" t="n">
        <x:f>E166*L166</x:f>
        <x:v>0.001922607421875</x:v>
      </x:c>
      <x:c r="N166" s="19" t="n">
        <x:f>F166*L166</x:f>
        <x:v>0.0015411376953125</x:v>
      </x:c>
      <x:c r="O166" s="19" t="n">
        <x:f>G166*L166</x:f>
        <x:v>0.0013427734375</x:v>
      </x:c>
      <x:c r="P166" s="19" t="n">
        <x:f>H166*L166</x:f>
        <x:v>0.000335693359375</x:v>
      </x:c>
      <x:c r="Q166" s="19" t="n">
        <x:f>I166*L166</x:f>
        <x:v>0</x:v>
      </x:c>
      <x:c r="R166" s="19" t="n">
        <x:f>J166*L166</x:f>
        <x:v>0</x:v>
      </x:c>
      <x:c r="S166" s="19" t="n">
        <x:f>K166*L166</x:f>
        <x:v>0.001678466796875</x:v>
      </x:c>
    </x:row>
    <x:row r="167" ht="27" customHeight="1">
      <x:c r="A167" s="12" t="n">
        <x:v>3</x:v>
      </x:c>
      <x:c r="B167" s="12" t="n">
        <x:v>5</x:v>
      </x:c>
      <x:c r="C167" s="12" t="n">
        <x:v>1</x:v>
      </x:c>
      <x:c r="D167" s="12" t="n">
        <x:v>0</x:v>
      </x:c>
      <x:c r="E167" s="12" t="n">
        <x:v>504</x:v>
      </x:c>
      <x:c r="F167" s="12" t="n">
        <x:v>404</x:v>
      </x:c>
      <x:c r="G167" s="12" t="n">
        <x:v>352</x:v>
      </x:c>
      <x:c r="H167" s="12" t="n">
        <x:v>88</x:v>
      </x:c>
      <x:c r="I167" s="12" t="n">
        <x:v>0</x:v>
      </x:c>
      <x:c r="J167" s="12" t="n">
        <x:v>0</x:v>
      </x:c>
      <x:c r="K167" s="12" t="n">
        <x:v>440</x:v>
      </x:c>
      <x:c r="L167" s="18" t="n">
        <x:f>'参数'!$D$5^A167*'参数'!$D$6^B167*'参数'!$D$7^C167*'参数'!$D$8^D167</x:f>
        <x:v>0.000003814697265625</x:v>
      </x:c>
      <x:c r="M167" s="18" t="n">
        <x:f>E167*L167</x:f>
        <x:v>0.001922607421875</x:v>
      </x:c>
      <x:c r="N167" s="18" t="n">
        <x:f>F167*L167</x:f>
        <x:v>0.0015411376953125</x:v>
      </x:c>
      <x:c r="O167" s="18" t="n">
        <x:f>G167*L167</x:f>
        <x:v>0.0013427734375</x:v>
      </x:c>
      <x:c r="P167" s="18" t="n">
        <x:f>H167*L167</x:f>
        <x:v>0.000335693359375</x:v>
      </x:c>
      <x:c r="Q167" s="18" t="n">
        <x:f>I167*L167</x:f>
        <x:v>0</x:v>
      </x:c>
      <x:c r="R167" s="18" t="n">
        <x:f>J167*L167</x:f>
        <x:v>0</x:v>
      </x:c>
      <x:c r="S167" s="18" t="n">
        <x:f>K167*L167</x:f>
        <x:v>0.001678466796875</x:v>
      </x:c>
    </x:row>
    <x:row r="168" ht="27" customHeight="1">
      <x:c r="A168" s="13" t="n">
        <x:v>3</x:v>
      </x:c>
      <x:c r="B168" s="13" t="n">
        <x:v>6</x:v>
      </x:c>
      <x:c r="C168" s="13" t="n">
        <x:v>0</x:v>
      </x:c>
      <x:c r="D168" s="13" t="n">
        <x:v>0</x:v>
      </x:c>
      <x:c r="E168" s="13" t="n">
        <x:v>84</x:v>
      </x:c>
      <x:c r="F168" s="13" t="n">
        <x:v>84</x:v>
      </x:c>
      <x:c r="G168" s="13" t="n">
        <x:v>28</x:v>
      </x:c>
      <x:c r="H168" s="13" t="n">
        <x:v>46</x:v>
      </x:c>
      <x:c r="I168" s="13" t="n">
        <x:v>16</x:v>
      </x:c>
      <x:c r="J168" s="13" t="n">
        <x:v>0</x:v>
      </x:c>
      <x:c r="K168" s="13" t="n">
        <x:v>90</x:v>
      </x:c>
      <x:c r="L168" s="19" t="n">
        <x:f>'参数'!$D$5^A168*'参数'!$D$6^B168*'参数'!$D$7^C168*'参数'!$D$8^D168</x:f>
        <x:v>0.000003814697265625</x:v>
      </x:c>
      <x:c r="M168" s="19" t="n">
        <x:f>E168*L168</x:f>
        <x:v>0.0003204345703125</x:v>
      </x:c>
      <x:c r="N168" s="19" t="n">
        <x:f>F168*L168</x:f>
        <x:v>0.0003204345703125</x:v>
      </x:c>
      <x:c r="O168" s="19" t="n">
        <x:f>G168*L168</x:f>
        <x:v>0.0001068115234375</x:v>
      </x:c>
      <x:c r="P168" s="19" t="n">
        <x:f>H168*L168</x:f>
        <x:v>0.00017547607421875</x:v>
      </x:c>
      <x:c r="Q168" s="19" t="n">
        <x:f>I168*L168</x:f>
        <x:v>0.00006103515625</x:v>
      </x:c>
      <x:c r="R168" s="19" t="n">
        <x:f>J168*L168</x:f>
        <x:v>0</x:v>
      </x:c>
      <x:c r="S168" s="19" t="n">
        <x:f>K168*L168</x:f>
        <x:v>0.00034332275390625</x:v>
      </x:c>
    </x:row>
    <x:row r="169" ht="27" customHeight="1">
      <x:c r="A169" s="12" t="n">
        <x:v>4</x:v>
      </x:c>
      <x:c r="B169" s="12" t="n">
        <x:v>0</x:v>
      </x:c>
      <x:c r="C169" s="12" t="n">
        <x:v>0</x:v>
      </x:c>
      <x:c r="D169" s="12" t="n">
        <x:v>5</x:v>
      </x:c>
      <x:c r="E169" s="12" t="n">
        <x:v>126</x:v>
      </x:c>
      <x:c r="F169" s="12" t="n">
        <x:v>110</x:v>
      </x:c>
      <x:c r="G169" s="12" t="n">
        <x:v>124</x:v>
      </x:c>
      <x:c r="H169" s="12" t="n">
        <x:v>22</x:v>
      </x:c>
      <x:c r="I169" s="12" t="n">
        <x:v>0</x:v>
      </x:c>
      <x:c r="J169" s="12" t="n">
        <x:v>0</x:v>
      </x:c>
      <x:c r="K169" s="12" t="n">
        <x:v>146</x:v>
      </x:c>
      <x:c r="L169" s="18" t="n">
        <x:f>'参数'!$D$5^A169*'参数'!$D$6^B169*'参数'!$D$7^C169*'参数'!$D$8^D169</x:f>
        <x:v>0.000003814697265625</x:v>
      </x:c>
      <x:c r="M169" s="18" t="n">
        <x:f>E169*L169</x:f>
        <x:v>0.00048065185546875</x:v>
      </x:c>
      <x:c r="N169" s="18" t="n">
        <x:f>F169*L169</x:f>
        <x:v>0.00041961669921875</x:v>
      </x:c>
      <x:c r="O169" s="18" t="n">
        <x:f>G169*L169</x:f>
        <x:v>0.0004730224609375</x:v>
      </x:c>
      <x:c r="P169" s="18" t="n">
        <x:f>H169*L169</x:f>
        <x:v>0.00008392333984375</x:v>
      </x:c>
      <x:c r="Q169" s="18" t="n">
        <x:f>I169*L169</x:f>
        <x:v>0</x:v>
      </x:c>
      <x:c r="R169" s="18" t="n">
        <x:f>J169*L169</x:f>
        <x:v>0</x:v>
      </x:c>
      <x:c r="S169" s="18" t="n">
        <x:f>K169*L169</x:f>
        <x:v>0.00055694580078125</x:v>
      </x:c>
    </x:row>
    <x:row r="170" ht="27" customHeight="1">
      <x:c r="A170" s="13" t="n">
        <x:v>4</x:v>
      </x:c>
      <x:c r="B170" s="13" t="n">
        <x:v>0</x:v>
      </x:c>
      <x:c r="C170" s="13" t="n">
        <x:v>1</x:v>
      </x:c>
      <x:c r="D170" s="13" t="n">
        <x:v>4</x:v>
      </x:c>
      <x:c r="E170" s="13" t="n">
        <x:v>630</x:v>
      </x:c>
      <x:c r="F170" s="13" t="n">
        <x:v>408</x:v>
      </x:c>
      <x:c r="G170" s="13" t="n">
        <x:v>480</x:v>
      </x:c>
      <x:c r="H170" s="13" t="n">
        <x:v>0</x:v>
      </x:c>
      <x:c r="I170" s="13" t="n">
        <x:v>0</x:v>
      </x:c>
      <x:c r="J170" s="13" t="n">
        <x:v>0</x:v>
      </x:c>
      <x:c r="K170" s="13" t="n">
        <x:v>480</x:v>
      </x:c>
      <x:c r="L170" s="19" t="n">
        <x:f>'参数'!$D$5^A170*'参数'!$D$6^B170*'参数'!$D$7^C170*'参数'!$D$8^D170</x:f>
        <x:v>0.000003814697265625</x:v>
      </x:c>
      <x:c r="M170" s="19" t="n">
        <x:f>E170*L170</x:f>
        <x:v>0.00240325927734375</x:v>
      </x:c>
      <x:c r="N170" s="19" t="n">
        <x:f>F170*L170</x:f>
        <x:v>0.001556396484375</x:v>
      </x:c>
      <x:c r="O170" s="19" t="n">
        <x:f>G170*L170</x:f>
        <x:v>0.0018310546875</x:v>
      </x:c>
      <x:c r="P170" s="19" t="n">
        <x:f>H170*L170</x:f>
        <x:v>0</x:v>
      </x:c>
      <x:c r="Q170" s="19" t="n">
        <x:f>I170*L170</x:f>
        <x:v>0</x:v>
      </x:c>
      <x:c r="R170" s="19" t="n">
        <x:f>J170*L170</x:f>
        <x:v>0</x:v>
      </x:c>
      <x:c r="S170" s="19" t="n">
        <x:f>K170*L170</x:f>
        <x:v>0.0018310546875</x:v>
      </x:c>
    </x:row>
    <x:row r="171" ht="27" customHeight="1">
      <x:c r="A171" s="12" t="n">
        <x:v>4</x:v>
      </x:c>
      <x:c r="B171" s="12" t="n">
        <x:v>0</x:v>
      </x:c>
      <x:c r="C171" s="12" t="n">
        <x:v>2</x:v>
      </x:c>
      <x:c r="D171" s="12" t="n">
        <x:v>3</x:v>
      </x:c>
      <x:c r="E171" s="12" t="n">
        <x:v>1260</x:v>
      </x:c>
      <x:c r="F171" s="12" t="n">
        <x:v>564</x:v>
      </x:c>
      <x:c r="G171" s="12" t="n">
        <x:v>600</x:v>
      </x:c>
      <x:c r="H171" s="12" t="n">
        <x:v>0</x:v>
      </x:c>
      <x:c r="I171" s="12" t="n">
        <x:v>0</x:v>
      </x:c>
      <x:c r="J171" s="12" t="n">
        <x:v>0</x:v>
      </x:c>
      <x:c r="K171" s="12" t="n">
        <x:v>600</x:v>
      </x:c>
      <x:c r="L171" s="18" t="n">
        <x:f>'参数'!$D$5^A171*'参数'!$D$6^B171*'参数'!$D$7^C171*'参数'!$D$8^D171</x:f>
        <x:v>0.000003814697265625</x:v>
      </x:c>
      <x:c r="M171" s="18" t="n">
        <x:f>E171*L171</x:f>
        <x:v>0.0048065185546875</x:v>
      </x:c>
      <x:c r="N171" s="18" t="n">
        <x:f>F171*L171</x:f>
        <x:v>0.0021514892578125</x:v>
      </x:c>
      <x:c r="O171" s="18" t="n">
        <x:f>G171*L171</x:f>
        <x:v>0.002288818359375</x:v>
      </x:c>
      <x:c r="P171" s="18" t="n">
        <x:f>H171*L171</x:f>
        <x:v>0</x:v>
      </x:c>
      <x:c r="Q171" s="18" t="n">
        <x:f>I171*L171</x:f>
        <x:v>0</x:v>
      </x:c>
      <x:c r="R171" s="18" t="n">
        <x:f>J171*L171</x:f>
        <x:v>0</x:v>
      </x:c>
      <x:c r="S171" s="18" t="n">
        <x:f>K171*L171</x:f>
        <x:v>0.002288818359375</x:v>
      </x:c>
    </x:row>
    <x:row r="172" ht="27" customHeight="1">
      <x:c r="A172" s="13" t="n">
        <x:v>4</x:v>
      </x:c>
      <x:c r="B172" s="13" t="n">
        <x:v>0</x:v>
      </x:c>
      <x:c r="C172" s="13" t="n">
        <x:v>3</x:v>
      </x:c>
      <x:c r="D172" s="13" t="n">
        <x:v>2</x:v>
      </x:c>
      <x:c r="E172" s="13" t="n">
        <x:v>1260</x:v>
      </x:c>
      <x:c r="F172" s="13" t="n">
        <x:v>564</x:v>
      </x:c>
      <x:c r="G172" s="13" t="n">
        <x:v>600</x:v>
      </x:c>
      <x:c r="H172" s="13" t="n">
        <x:v>0</x:v>
      </x:c>
      <x:c r="I172" s="13" t="n">
        <x:v>0</x:v>
      </x:c>
      <x:c r="J172" s="13" t="n">
        <x:v>0</x:v>
      </x:c>
      <x:c r="K172" s="13" t="n">
        <x:v>600</x:v>
      </x:c>
      <x:c r="L172" s="19" t="n">
        <x:f>'参数'!$D$5^A172*'参数'!$D$6^B172*'参数'!$D$7^C172*'参数'!$D$8^D172</x:f>
        <x:v>0.000003814697265625</x:v>
      </x:c>
      <x:c r="M172" s="19" t="n">
        <x:f>E172*L172</x:f>
        <x:v>0.0048065185546875</x:v>
      </x:c>
      <x:c r="N172" s="19" t="n">
        <x:f>F172*L172</x:f>
        <x:v>0.0021514892578125</x:v>
      </x:c>
      <x:c r="O172" s="19" t="n">
        <x:f>G172*L172</x:f>
        <x:v>0.002288818359375</x:v>
      </x:c>
      <x:c r="P172" s="19" t="n">
        <x:f>H172*L172</x:f>
        <x:v>0</x:v>
      </x:c>
      <x:c r="Q172" s="19" t="n">
        <x:f>I172*L172</x:f>
        <x:v>0</x:v>
      </x:c>
      <x:c r="R172" s="19" t="n">
        <x:f>J172*L172</x:f>
        <x:v>0</x:v>
      </x:c>
      <x:c r="S172" s="19" t="n">
        <x:f>K172*L172</x:f>
        <x:v>0.002288818359375</x:v>
      </x:c>
    </x:row>
    <x:row r="173" ht="27" customHeight="1">
      <x:c r="A173" s="12" t="n">
        <x:v>4</x:v>
      </x:c>
      <x:c r="B173" s="12" t="n">
        <x:v>0</x:v>
      </x:c>
      <x:c r="C173" s="12" t="n">
        <x:v>4</x:v>
      </x:c>
      <x:c r="D173" s="12" t="n">
        <x:v>1</x:v>
      </x:c>
      <x:c r="E173" s="12" t="n">
        <x:v>630</x:v>
      </x:c>
      <x:c r="F173" s="12" t="n">
        <x:v>408</x:v>
      </x:c>
      <x:c r="G173" s="12" t="n">
        <x:v>480</x:v>
      </x:c>
      <x:c r="H173" s="12" t="n">
        <x:v>0</x:v>
      </x:c>
      <x:c r="I173" s="12" t="n">
        <x:v>0</x:v>
      </x:c>
      <x:c r="J173" s="12" t="n">
        <x:v>0</x:v>
      </x:c>
      <x:c r="K173" s="12" t="n">
        <x:v>480</x:v>
      </x:c>
      <x:c r="L173" s="18" t="n">
        <x:f>'参数'!$D$5^A173*'参数'!$D$6^B173*'参数'!$D$7^C173*'参数'!$D$8^D173</x:f>
        <x:v>0.000003814697265625</x:v>
      </x:c>
      <x:c r="M173" s="18" t="n">
        <x:f>E173*L173</x:f>
        <x:v>0.00240325927734375</x:v>
      </x:c>
      <x:c r="N173" s="18" t="n">
        <x:f>F173*L173</x:f>
        <x:v>0.001556396484375</x:v>
      </x:c>
      <x:c r="O173" s="18" t="n">
        <x:f>G173*L173</x:f>
        <x:v>0.0018310546875</x:v>
      </x:c>
      <x:c r="P173" s="18" t="n">
        <x:f>H173*L173</x:f>
        <x:v>0</x:v>
      </x:c>
      <x:c r="Q173" s="18" t="n">
        <x:f>I173*L173</x:f>
        <x:v>0</x:v>
      </x:c>
      <x:c r="R173" s="18" t="n">
        <x:f>J173*L173</x:f>
        <x:v>0</x:v>
      </x:c>
      <x:c r="S173" s="18" t="n">
        <x:f>K173*L173</x:f>
        <x:v>0.0018310546875</x:v>
      </x:c>
    </x:row>
    <x:row r="174" ht="27" customHeight="1">
      <x:c r="A174" s="13" t="n">
        <x:v>4</x:v>
      </x:c>
      <x:c r="B174" s="13" t="n">
        <x:v>0</x:v>
      </x:c>
      <x:c r="C174" s="13" t="n">
        <x:v>5</x:v>
      </x:c>
      <x:c r="D174" s="13" t="n">
        <x:v>0</x:v>
      </x:c>
      <x:c r="E174" s="13" t="n">
        <x:v>126</x:v>
      </x:c>
      <x:c r="F174" s="13" t="n">
        <x:v>110</x:v>
      </x:c>
      <x:c r="G174" s="13" t="n">
        <x:v>124</x:v>
      </x:c>
      <x:c r="H174" s="13" t="n">
        <x:v>22</x:v>
      </x:c>
      <x:c r="I174" s="13" t="n">
        <x:v>0</x:v>
      </x:c>
      <x:c r="J174" s="13" t="n">
        <x:v>0</x:v>
      </x:c>
      <x:c r="K174" s="13" t="n">
        <x:v>146</x:v>
      </x:c>
      <x:c r="L174" s="19" t="n">
        <x:f>'参数'!$D$5^A174*'参数'!$D$6^B174*'参数'!$D$7^C174*'参数'!$D$8^D174</x:f>
        <x:v>0.000003814697265625</x:v>
      </x:c>
      <x:c r="M174" s="19" t="n">
        <x:f>E174*L174</x:f>
        <x:v>0.00048065185546875</x:v>
      </x:c>
      <x:c r="N174" s="19" t="n">
        <x:f>F174*L174</x:f>
        <x:v>0.00041961669921875</x:v>
      </x:c>
      <x:c r="O174" s="19" t="n">
        <x:f>G174*L174</x:f>
        <x:v>0.0004730224609375</x:v>
      </x:c>
      <x:c r="P174" s="19" t="n">
        <x:f>H174*L174</x:f>
        <x:v>0.00008392333984375</x:v>
      </x:c>
      <x:c r="Q174" s="19" t="n">
        <x:f>I174*L174</x:f>
        <x:v>0</x:v>
      </x:c>
      <x:c r="R174" s="19" t="n">
        <x:f>J174*L174</x:f>
        <x:v>0</x:v>
      </x:c>
      <x:c r="S174" s="19" t="n">
        <x:f>K174*L174</x:f>
        <x:v>0.00055694580078125</x:v>
      </x:c>
    </x:row>
    <x:row r="175" ht="27" customHeight="1">
      <x:c r="A175" s="12" t="n">
        <x:v>4</x:v>
      </x:c>
      <x:c r="B175" s="12" t="n">
        <x:v>1</x:v>
      </x:c>
      <x:c r="C175" s="12" t="n">
        <x:v>0</x:v>
      </x:c>
      <x:c r="D175" s="12" t="n">
        <x:v>4</x:v>
      </x:c>
      <x:c r="E175" s="12" t="n">
        <x:v>630</x:v>
      </x:c>
      <x:c r="F175" s="12" t="n">
        <x:v>408</x:v>
      </x:c>
      <x:c r="G175" s="12" t="n">
        <x:v>480</x:v>
      </x:c>
      <x:c r="H175" s="12" t="n">
        <x:v>0</x:v>
      </x:c>
      <x:c r="I175" s="12" t="n">
        <x:v>0</x:v>
      </x:c>
      <x:c r="J175" s="12" t="n">
        <x:v>0</x:v>
      </x:c>
      <x:c r="K175" s="12" t="n">
        <x:v>480</x:v>
      </x:c>
      <x:c r="L175" s="18" t="n">
        <x:f>'参数'!$D$5^A175*'参数'!$D$6^B175*'参数'!$D$7^C175*'参数'!$D$8^D175</x:f>
        <x:v>0.000003814697265625</x:v>
      </x:c>
      <x:c r="M175" s="18" t="n">
        <x:f>E175*L175</x:f>
        <x:v>0.00240325927734375</x:v>
      </x:c>
      <x:c r="N175" s="18" t="n">
        <x:f>F175*L175</x:f>
        <x:v>0.001556396484375</x:v>
      </x:c>
      <x:c r="O175" s="18" t="n">
        <x:f>G175*L175</x:f>
        <x:v>0.0018310546875</x:v>
      </x:c>
      <x:c r="P175" s="18" t="n">
        <x:f>H175*L175</x:f>
        <x:v>0</x:v>
      </x:c>
      <x:c r="Q175" s="18" t="n">
        <x:f>I175*L175</x:f>
        <x:v>0</x:v>
      </x:c>
      <x:c r="R175" s="18" t="n">
        <x:f>J175*L175</x:f>
        <x:v>0</x:v>
      </x:c>
      <x:c r="S175" s="18" t="n">
        <x:f>K175*L175</x:f>
        <x:v>0.0018310546875</x:v>
      </x:c>
    </x:row>
    <x:row r="176" ht="27" customHeight="1">
      <x:c r="A176" s="13" t="n">
        <x:v>4</x:v>
      </x:c>
      <x:c r="B176" s="13" t="n">
        <x:v>1</x:v>
      </x:c>
      <x:c r="C176" s="13" t="n">
        <x:v>1</x:v>
      </x:c>
      <x:c r="D176" s="13" t="n">
        <x:v>3</x:v>
      </x:c>
      <x:c r="E176" s="13" t="n">
        <x:v>2520</x:v>
      </x:c>
      <x:c r="F176" s="13" t="n">
        <x:v>1128</x:v>
      </x:c>
      <x:c r="G176" s="13" t="n">
        <x:v>1200</x:v>
      </x:c>
      <x:c r="H176" s="13" t="n">
        <x:v>0</x:v>
      </x:c>
      <x:c r="I176" s="13" t="n">
        <x:v>0</x:v>
      </x:c>
      <x:c r="J176" s="13" t="n">
        <x:v>0</x:v>
      </x:c>
      <x:c r="K176" s="13" t="n">
        <x:v>1200</x:v>
      </x:c>
      <x:c r="L176" s="19" t="n">
        <x:f>'参数'!$D$5^A176*'参数'!$D$6^B176*'参数'!$D$7^C176*'参数'!$D$8^D176</x:f>
        <x:v>0.000003814697265625</x:v>
      </x:c>
      <x:c r="M176" s="19" t="n">
        <x:f>E176*L176</x:f>
        <x:v>0.009613037109375</x:v>
      </x:c>
      <x:c r="N176" s="19" t="n">
        <x:f>F176*L176</x:f>
        <x:v>0.004302978515625</x:v>
      </x:c>
      <x:c r="O176" s="19" t="n">
        <x:f>G176*L176</x:f>
        <x:v>0.00457763671875</x:v>
      </x:c>
      <x:c r="P176" s="19" t="n">
        <x:f>H176*L176</x:f>
        <x:v>0</x:v>
      </x:c>
      <x:c r="Q176" s="19" t="n">
        <x:f>I176*L176</x:f>
        <x:v>0</x:v>
      </x:c>
      <x:c r="R176" s="19" t="n">
        <x:f>J176*L176</x:f>
        <x:v>0</x:v>
      </x:c>
      <x:c r="S176" s="19" t="n">
        <x:f>K176*L176</x:f>
        <x:v>0.00457763671875</x:v>
      </x:c>
    </x:row>
    <x:row r="177" ht="27" customHeight="1">
      <x:c r="A177" s="12" t="n">
        <x:v>4</x:v>
      </x:c>
      <x:c r="B177" s="12" t="n">
        <x:v>1</x:v>
      </x:c>
      <x:c r="C177" s="12" t="n">
        <x:v>2</x:v>
      </x:c>
      <x:c r="D177" s="12" t="n">
        <x:v>2</x:v>
      </x:c>
      <x:c r="E177" s="12" t="n">
        <x:v>3780</x:v>
      </x:c>
      <x:c r="F177" s="12" t="n">
        <x:v>1440</x:v>
      </x:c>
      <x:c r="G177" s="12" t="n">
        <x:v>1440</x:v>
      </x:c>
      <x:c r="H177" s="12" t="n">
        <x:v>0</x:v>
      </x:c>
      <x:c r="I177" s="12" t="n">
        <x:v>0</x:v>
      </x:c>
      <x:c r="J177" s="12" t="n">
        <x:v>0</x:v>
      </x:c>
      <x:c r="K177" s="12" t="n">
        <x:v>1440</x:v>
      </x:c>
      <x:c r="L177" s="18" t="n">
        <x:f>'参数'!$D$5^A177*'参数'!$D$6^B177*'参数'!$D$7^C177*'参数'!$D$8^D177</x:f>
        <x:v>0.000003814697265625</x:v>
      </x:c>
      <x:c r="M177" s="18" t="n">
        <x:f>E177*L177</x:f>
        <x:v>0.0144195556640625</x:v>
      </x:c>
      <x:c r="N177" s="18" t="n">
        <x:f>F177*L177</x:f>
        <x:v>0.0054931640625</x:v>
      </x:c>
      <x:c r="O177" s="18" t="n">
        <x:f>G177*L177</x:f>
        <x:v>0.0054931640625</x:v>
      </x:c>
      <x:c r="P177" s="18" t="n">
        <x:f>H177*L177</x:f>
        <x:v>0</x:v>
      </x:c>
      <x:c r="Q177" s="18" t="n">
        <x:f>I177*L177</x:f>
        <x:v>0</x:v>
      </x:c>
      <x:c r="R177" s="18" t="n">
        <x:f>J177*L177</x:f>
        <x:v>0</x:v>
      </x:c>
      <x:c r="S177" s="18" t="n">
        <x:f>K177*L177</x:f>
        <x:v>0.0054931640625</x:v>
      </x:c>
    </x:row>
    <x:row r="178" ht="27" customHeight="1">
      <x:c r="A178" s="13" t="n">
        <x:v>4</x:v>
      </x:c>
      <x:c r="B178" s="13" t="n">
        <x:v>1</x:v>
      </x:c>
      <x:c r="C178" s="13" t="n">
        <x:v>3</x:v>
      </x:c>
      <x:c r="D178" s="13" t="n">
        <x:v>1</x:v>
      </x:c>
      <x:c r="E178" s="13" t="n">
        <x:v>2520</x:v>
      </x:c>
      <x:c r="F178" s="13" t="n">
        <x:v>1128</x:v>
      </x:c>
      <x:c r="G178" s="13" t="n">
        <x:v>1200</x:v>
      </x:c>
      <x:c r="H178" s="13" t="n">
        <x:v>0</x:v>
      </x:c>
      <x:c r="I178" s="13" t="n">
        <x:v>0</x:v>
      </x:c>
      <x:c r="J178" s="13" t="n">
        <x:v>0</x:v>
      </x:c>
      <x:c r="K178" s="13" t="n">
        <x:v>1200</x:v>
      </x:c>
      <x:c r="L178" s="19" t="n">
        <x:f>'参数'!$D$5^A178*'参数'!$D$6^B178*'参数'!$D$7^C178*'参数'!$D$8^D178</x:f>
        <x:v>0.000003814697265625</x:v>
      </x:c>
      <x:c r="M178" s="19" t="n">
        <x:f>E178*L178</x:f>
        <x:v>0.009613037109375</x:v>
      </x:c>
      <x:c r="N178" s="19" t="n">
        <x:f>F178*L178</x:f>
        <x:v>0.004302978515625</x:v>
      </x:c>
      <x:c r="O178" s="19" t="n">
        <x:f>G178*L178</x:f>
        <x:v>0.00457763671875</x:v>
      </x:c>
      <x:c r="P178" s="19" t="n">
        <x:f>H178*L178</x:f>
        <x:v>0</x:v>
      </x:c>
      <x:c r="Q178" s="19" t="n">
        <x:f>I178*L178</x:f>
        <x:v>0</x:v>
      </x:c>
      <x:c r="R178" s="19" t="n">
        <x:f>J178*L178</x:f>
        <x:v>0</x:v>
      </x:c>
      <x:c r="S178" s="19" t="n">
        <x:f>K178*L178</x:f>
        <x:v>0.00457763671875</x:v>
      </x:c>
    </x:row>
    <x:row r="179" ht="27" customHeight="1">
      <x:c r="A179" s="12" t="n">
        <x:v>4</x:v>
      </x:c>
      <x:c r="B179" s="12" t="n">
        <x:v>1</x:v>
      </x:c>
      <x:c r="C179" s="12" t="n">
        <x:v>4</x:v>
      </x:c>
      <x:c r="D179" s="12" t="n">
        <x:v>0</x:v>
      </x:c>
      <x:c r="E179" s="12" t="n">
        <x:v>630</x:v>
      </x:c>
      <x:c r="F179" s="12" t="n">
        <x:v>408</x:v>
      </x:c>
      <x:c r="G179" s="12" t="n">
        <x:v>480</x:v>
      </x:c>
      <x:c r="H179" s="12" t="n">
        <x:v>0</x:v>
      </x:c>
      <x:c r="I179" s="12" t="n">
        <x:v>0</x:v>
      </x:c>
      <x:c r="J179" s="12" t="n">
        <x:v>0</x:v>
      </x:c>
      <x:c r="K179" s="12" t="n">
        <x:v>480</x:v>
      </x:c>
      <x:c r="L179" s="18" t="n">
        <x:f>'参数'!$D$5^A179*'参数'!$D$6^B179*'参数'!$D$7^C179*'参数'!$D$8^D179</x:f>
        <x:v>0.000003814697265625</x:v>
      </x:c>
      <x:c r="M179" s="18" t="n">
        <x:f>E179*L179</x:f>
        <x:v>0.00240325927734375</x:v>
      </x:c>
      <x:c r="N179" s="18" t="n">
        <x:f>F179*L179</x:f>
        <x:v>0.001556396484375</x:v>
      </x:c>
      <x:c r="O179" s="18" t="n">
        <x:f>G179*L179</x:f>
        <x:v>0.0018310546875</x:v>
      </x:c>
      <x:c r="P179" s="18" t="n">
        <x:f>H179*L179</x:f>
        <x:v>0</x:v>
      </x:c>
      <x:c r="Q179" s="18" t="n">
        <x:f>I179*L179</x:f>
        <x:v>0</x:v>
      </x:c>
      <x:c r="R179" s="18" t="n">
        <x:f>J179*L179</x:f>
        <x:v>0</x:v>
      </x:c>
      <x:c r="S179" s="18" t="n">
        <x:f>K179*L179</x:f>
        <x:v>0.0018310546875</x:v>
      </x:c>
    </x:row>
    <x:row r="180" ht="27" customHeight="1">
      <x:c r="A180" s="13" t="n">
        <x:v>4</x:v>
      </x:c>
      <x:c r="B180" s="13" t="n">
        <x:v>2</x:v>
      </x:c>
      <x:c r="C180" s="13" t="n">
        <x:v>0</x:v>
      </x:c>
      <x:c r="D180" s="13" t="n">
        <x:v>3</x:v>
      </x:c>
      <x:c r="E180" s="13" t="n">
        <x:v>1260</x:v>
      </x:c>
      <x:c r="F180" s="13" t="n">
        <x:v>564</x:v>
      </x:c>
      <x:c r="G180" s="13" t="n">
        <x:v>600</x:v>
      </x:c>
      <x:c r="H180" s="13" t="n">
        <x:v>0</x:v>
      </x:c>
      <x:c r="I180" s="13" t="n">
        <x:v>0</x:v>
      </x:c>
      <x:c r="J180" s="13" t="n">
        <x:v>0</x:v>
      </x:c>
      <x:c r="K180" s="13" t="n">
        <x:v>600</x:v>
      </x:c>
      <x:c r="L180" s="19" t="n">
        <x:f>'参数'!$D$5^A180*'参数'!$D$6^B180*'参数'!$D$7^C180*'参数'!$D$8^D180</x:f>
        <x:v>0.000003814697265625</x:v>
      </x:c>
      <x:c r="M180" s="19" t="n">
        <x:f>E180*L180</x:f>
        <x:v>0.0048065185546875</x:v>
      </x:c>
      <x:c r="N180" s="19" t="n">
        <x:f>F180*L180</x:f>
        <x:v>0.0021514892578125</x:v>
      </x:c>
      <x:c r="O180" s="19" t="n">
        <x:f>G180*L180</x:f>
        <x:v>0.002288818359375</x:v>
      </x:c>
      <x:c r="P180" s="19" t="n">
        <x:f>H180*L180</x:f>
        <x:v>0</x:v>
      </x:c>
      <x:c r="Q180" s="19" t="n">
        <x:f>I180*L180</x:f>
        <x:v>0</x:v>
      </x:c>
      <x:c r="R180" s="19" t="n">
        <x:f>J180*L180</x:f>
        <x:v>0</x:v>
      </x:c>
      <x:c r="S180" s="19" t="n">
        <x:f>K180*L180</x:f>
        <x:v>0.002288818359375</x:v>
      </x:c>
    </x:row>
    <x:row r="181" ht="27" customHeight="1">
      <x:c r="A181" s="12" t="n">
        <x:v>4</x:v>
      </x:c>
      <x:c r="B181" s="12" t="n">
        <x:v>2</x:v>
      </x:c>
      <x:c r="C181" s="12" t="n">
        <x:v>1</x:v>
      </x:c>
      <x:c r="D181" s="12" t="n">
        <x:v>2</x:v>
      </x:c>
      <x:c r="E181" s="12" t="n">
        <x:v>3780</x:v>
      </x:c>
      <x:c r="F181" s="12" t="n">
        <x:v>1440</x:v>
      </x:c>
      <x:c r="G181" s="12" t="n">
        <x:v>1440</x:v>
      </x:c>
      <x:c r="H181" s="12" t="n">
        <x:v>0</x:v>
      </x:c>
      <x:c r="I181" s="12" t="n">
        <x:v>0</x:v>
      </x:c>
      <x:c r="J181" s="12" t="n">
        <x:v>0</x:v>
      </x:c>
      <x:c r="K181" s="12" t="n">
        <x:v>1440</x:v>
      </x:c>
      <x:c r="L181" s="18" t="n">
        <x:f>'参数'!$D$5^A181*'参数'!$D$6^B181*'参数'!$D$7^C181*'参数'!$D$8^D181</x:f>
        <x:v>0.000003814697265625</x:v>
      </x:c>
      <x:c r="M181" s="18" t="n">
        <x:f>E181*L181</x:f>
        <x:v>0.0144195556640625</x:v>
      </x:c>
      <x:c r="N181" s="18" t="n">
        <x:f>F181*L181</x:f>
        <x:v>0.0054931640625</x:v>
      </x:c>
      <x:c r="O181" s="18" t="n">
        <x:f>G181*L181</x:f>
        <x:v>0.0054931640625</x:v>
      </x:c>
      <x:c r="P181" s="18" t="n">
        <x:f>H181*L181</x:f>
        <x:v>0</x:v>
      </x:c>
      <x:c r="Q181" s="18" t="n">
        <x:f>I181*L181</x:f>
        <x:v>0</x:v>
      </x:c>
      <x:c r="R181" s="18" t="n">
        <x:f>J181*L181</x:f>
        <x:v>0</x:v>
      </x:c>
      <x:c r="S181" s="18" t="n">
        <x:f>K181*L181</x:f>
        <x:v>0.0054931640625</x:v>
      </x:c>
    </x:row>
    <x:row r="182" ht="27" customHeight="1">
      <x:c r="A182" s="13" t="n">
        <x:v>4</x:v>
      </x:c>
      <x:c r="B182" s="13" t="n">
        <x:v>2</x:v>
      </x:c>
      <x:c r="C182" s="13" t="n">
        <x:v>2</x:v>
      </x:c>
      <x:c r="D182" s="13" t="n">
        <x:v>1</x:v>
      </x:c>
      <x:c r="E182" s="13" t="n">
        <x:v>3780</x:v>
      </x:c>
      <x:c r="F182" s="13" t="n">
        <x:v>1440</x:v>
      </x:c>
      <x:c r="G182" s="13" t="n">
        <x:v>1440</x:v>
      </x:c>
      <x:c r="H182" s="13" t="n">
        <x:v>0</x:v>
      </x:c>
      <x:c r="I182" s="13" t="n">
        <x:v>0</x:v>
      </x:c>
      <x:c r="J182" s="13" t="n">
        <x:v>0</x:v>
      </x:c>
      <x:c r="K182" s="13" t="n">
        <x:v>1440</x:v>
      </x:c>
      <x:c r="L182" s="19" t="n">
        <x:f>'参数'!$D$5^A182*'参数'!$D$6^B182*'参数'!$D$7^C182*'参数'!$D$8^D182</x:f>
        <x:v>0.000003814697265625</x:v>
      </x:c>
      <x:c r="M182" s="19" t="n">
        <x:f>E182*L182</x:f>
        <x:v>0.0144195556640625</x:v>
      </x:c>
      <x:c r="N182" s="19" t="n">
        <x:f>F182*L182</x:f>
        <x:v>0.0054931640625</x:v>
      </x:c>
      <x:c r="O182" s="19" t="n">
        <x:f>G182*L182</x:f>
        <x:v>0.0054931640625</x:v>
      </x:c>
      <x:c r="P182" s="19" t="n">
        <x:f>H182*L182</x:f>
        <x:v>0</x:v>
      </x:c>
      <x:c r="Q182" s="19" t="n">
        <x:f>I182*L182</x:f>
        <x:v>0</x:v>
      </x:c>
      <x:c r="R182" s="19" t="n">
        <x:f>J182*L182</x:f>
        <x:v>0</x:v>
      </x:c>
      <x:c r="S182" s="19" t="n">
        <x:f>K182*L182</x:f>
        <x:v>0.0054931640625</x:v>
      </x:c>
    </x:row>
    <x:row r="183" ht="27" customHeight="1">
      <x:c r="A183" s="12" t="n">
        <x:v>4</x:v>
      </x:c>
      <x:c r="B183" s="12" t="n">
        <x:v>2</x:v>
      </x:c>
      <x:c r="C183" s="12" t="n">
        <x:v>3</x:v>
      </x:c>
      <x:c r="D183" s="12" t="n">
        <x:v>0</x:v>
      </x:c>
      <x:c r="E183" s="12" t="n">
        <x:v>1260</x:v>
      </x:c>
      <x:c r="F183" s="12" t="n">
        <x:v>564</x:v>
      </x:c>
      <x:c r="G183" s="12" t="n">
        <x:v>600</x:v>
      </x:c>
      <x:c r="H183" s="12" t="n">
        <x:v>0</x:v>
      </x:c>
      <x:c r="I183" s="12" t="n">
        <x:v>0</x:v>
      </x:c>
      <x:c r="J183" s="12" t="n">
        <x:v>0</x:v>
      </x:c>
      <x:c r="K183" s="12" t="n">
        <x:v>600</x:v>
      </x:c>
      <x:c r="L183" s="18" t="n">
        <x:f>'参数'!$D$5^A183*'参数'!$D$6^B183*'参数'!$D$7^C183*'参数'!$D$8^D183</x:f>
        <x:v>0.000003814697265625</x:v>
      </x:c>
      <x:c r="M183" s="18" t="n">
        <x:f>E183*L183</x:f>
        <x:v>0.0048065185546875</x:v>
      </x:c>
      <x:c r="N183" s="18" t="n">
        <x:f>F183*L183</x:f>
        <x:v>0.0021514892578125</x:v>
      </x:c>
      <x:c r="O183" s="18" t="n">
        <x:f>G183*L183</x:f>
        <x:v>0.002288818359375</x:v>
      </x:c>
      <x:c r="P183" s="18" t="n">
        <x:f>H183*L183</x:f>
        <x:v>0</x:v>
      </x:c>
      <x:c r="Q183" s="18" t="n">
        <x:f>I183*L183</x:f>
        <x:v>0</x:v>
      </x:c>
      <x:c r="R183" s="18" t="n">
        <x:f>J183*L183</x:f>
        <x:v>0</x:v>
      </x:c>
      <x:c r="S183" s="18" t="n">
        <x:f>K183*L183</x:f>
        <x:v>0.002288818359375</x:v>
      </x:c>
    </x:row>
    <x:row r="184" ht="27" customHeight="1">
      <x:c r="A184" s="13" t="n">
        <x:v>4</x:v>
      </x:c>
      <x:c r="B184" s="13" t="n">
        <x:v>3</x:v>
      </x:c>
      <x:c r="C184" s="13" t="n">
        <x:v>0</x:v>
      </x:c>
      <x:c r="D184" s="13" t="n">
        <x:v>2</x:v>
      </x:c>
      <x:c r="E184" s="13" t="n">
        <x:v>1260</x:v>
      </x:c>
      <x:c r="F184" s="13" t="n">
        <x:v>564</x:v>
      </x:c>
      <x:c r="G184" s="13" t="n">
        <x:v>600</x:v>
      </x:c>
      <x:c r="H184" s="13" t="n">
        <x:v>0</x:v>
      </x:c>
      <x:c r="I184" s="13" t="n">
        <x:v>0</x:v>
      </x:c>
      <x:c r="J184" s="13" t="n">
        <x:v>0</x:v>
      </x:c>
      <x:c r="K184" s="13" t="n">
        <x:v>600</x:v>
      </x:c>
      <x:c r="L184" s="19" t="n">
        <x:f>'参数'!$D$5^A184*'参数'!$D$6^B184*'参数'!$D$7^C184*'参数'!$D$8^D184</x:f>
        <x:v>0.000003814697265625</x:v>
      </x:c>
      <x:c r="M184" s="19" t="n">
        <x:f>E184*L184</x:f>
        <x:v>0.0048065185546875</x:v>
      </x:c>
      <x:c r="N184" s="19" t="n">
        <x:f>F184*L184</x:f>
        <x:v>0.0021514892578125</x:v>
      </x:c>
      <x:c r="O184" s="19" t="n">
        <x:f>G184*L184</x:f>
        <x:v>0.002288818359375</x:v>
      </x:c>
      <x:c r="P184" s="19" t="n">
        <x:f>H184*L184</x:f>
        <x:v>0</x:v>
      </x:c>
      <x:c r="Q184" s="19" t="n">
        <x:f>I184*L184</x:f>
        <x:v>0</x:v>
      </x:c>
      <x:c r="R184" s="19" t="n">
        <x:f>J184*L184</x:f>
        <x:v>0</x:v>
      </x:c>
      <x:c r="S184" s="19" t="n">
        <x:f>K184*L184</x:f>
        <x:v>0.002288818359375</x:v>
      </x:c>
    </x:row>
    <x:row r="185" ht="27" customHeight="1">
      <x:c r="A185" s="12" t="n">
        <x:v>4</x:v>
      </x:c>
      <x:c r="B185" s="12" t="n">
        <x:v>3</x:v>
      </x:c>
      <x:c r="C185" s="12" t="n">
        <x:v>1</x:v>
      </x:c>
      <x:c r="D185" s="12" t="n">
        <x:v>1</x:v>
      </x:c>
      <x:c r="E185" s="12" t="n">
        <x:v>2520</x:v>
      </x:c>
      <x:c r="F185" s="12" t="n">
        <x:v>1128</x:v>
      </x:c>
      <x:c r="G185" s="12" t="n">
        <x:v>1200</x:v>
      </x:c>
      <x:c r="H185" s="12" t="n">
        <x:v>0</x:v>
      </x:c>
      <x:c r="I185" s="12" t="n">
        <x:v>0</x:v>
      </x:c>
      <x:c r="J185" s="12" t="n">
        <x:v>0</x:v>
      </x:c>
      <x:c r="K185" s="12" t="n">
        <x:v>1200</x:v>
      </x:c>
      <x:c r="L185" s="18" t="n">
        <x:f>'参数'!$D$5^A185*'参数'!$D$6^B185*'参数'!$D$7^C185*'参数'!$D$8^D185</x:f>
        <x:v>0.000003814697265625</x:v>
      </x:c>
      <x:c r="M185" s="18" t="n">
        <x:f>E185*L185</x:f>
        <x:v>0.009613037109375</x:v>
      </x:c>
      <x:c r="N185" s="18" t="n">
        <x:f>F185*L185</x:f>
        <x:v>0.004302978515625</x:v>
      </x:c>
      <x:c r="O185" s="18" t="n">
        <x:f>G185*L185</x:f>
        <x:v>0.00457763671875</x:v>
      </x:c>
      <x:c r="P185" s="18" t="n">
        <x:f>H185*L185</x:f>
        <x:v>0</x:v>
      </x:c>
      <x:c r="Q185" s="18" t="n">
        <x:f>I185*L185</x:f>
        <x:v>0</x:v>
      </x:c>
      <x:c r="R185" s="18" t="n">
        <x:f>J185*L185</x:f>
        <x:v>0</x:v>
      </x:c>
      <x:c r="S185" s="18" t="n">
        <x:f>K185*L185</x:f>
        <x:v>0.00457763671875</x:v>
      </x:c>
    </x:row>
    <x:row r="186" ht="27" customHeight="1">
      <x:c r="A186" s="13" t="n">
        <x:v>4</x:v>
      </x:c>
      <x:c r="B186" s="13" t="n">
        <x:v>3</x:v>
      </x:c>
      <x:c r="C186" s="13" t="n">
        <x:v>2</x:v>
      </x:c>
      <x:c r="D186" s="13" t="n">
        <x:v>0</x:v>
      </x:c>
      <x:c r="E186" s="13" t="n">
        <x:v>1260</x:v>
      </x:c>
      <x:c r="F186" s="13" t="n">
        <x:v>564</x:v>
      </x:c>
      <x:c r="G186" s="13" t="n">
        <x:v>600</x:v>
      </x:c>
      <x:c r="H186" s="13" t="n">
        <x:v>0</x:v>
      </x:c>
      <x:c r="I186" s="13" t="n">
        <x:v>0</x:v>
      </x:c>
      <x:c r="J186" s="13" t="n">
        <x:v>0</x:v>
      </x:c>
      <x:c r="K186" s="13" t="n">
        <x:v>600</x:v>
      </x:c>
      <x:c r="L186" s="19" t="n">
        <x:f>'参数'!$D$5^A186*'参数'!$D$6^B186*'参数'!$D$7^C186*'参数'!$D$8^D186</x:f>
        <x:v>0.000003814697265625</x:v>
      </x:c>
      <x:c r="M186" s="19" t="n">
        <x:f>E186*L186</x:f>
        <x:v>0.0048065185546875</x:v>
      </x:c>
      <x:c r="N186" s="19" t="n">
        <x:f>F186*L186</x:f>
        <x:v>0.0021514892578125</x:v>
      </x:c>
      <x:c r="O186" s="19" t="n">
        <x:f>G186*L186</x:f>
        <x:v>0.002288818359375</x:v>
      </x:c>
      <x:c r="P186" s="19" t="n">
        <x:f>H186*L186</x:f>
        <x:v>0</x:v>
      </x:c>
      <x:c r="Q186" s="19" t="n">
        <x:f>I186*L186</x:f>
        <x:v>0</x:v>
      </x:c>
      <x:c r="R186" s="19" t="n">
        <x:f>J186*L186</x:f>
        <x:v>0</x:v>
      </x:c>
      <x:c r="S186" s="19" t="n">
        <x:f>K186*L186</x:f>
        <x:v>0.002288818359375</x:v>
      </x:c>
    </x:row>
    <x:row r="187" ht="27" customHeight="1">
      <x:c r="A187" s="12" t="n">
        <x:v>4</x:v>
      </x:c>
      <x:c r="B187" s="12" t="n">
        <x:v>4</x:v>
      </x:c>
      <x:c r="C187" s="12" t="n">
        <x:v>0</x:v>
      </x:c>
      <x:c r="D187" s="12" t="n">
        <x:v>1</x:v>
      </x:c>
      <x:c r="E187" s="12" t="n">
        <x:v>630</x:v>
      </x:c>
      <x:c r="F187" s="12" t="n">
        <x:v>408</x:v>
      </x:c>
      <x:c r="G187" s="12" t="n">
        <x:v>480</x:v>
      </x:c>
      <x:c r="H187" s="12" t="n">
        <x:v>0</x:v>
      </x:c>
      <x:c r="I187" s="12" t="n">
        <x:v>0</x:v>
      </x:c>
      <x:c r="J187" s="12" t="n">
        <x:v>0</x:v>
      </x:c>
      <x:c r="K187" s="12" t="n">
        <x:v>480</x:v>
      </x:c>
      <x:c r="L187" s="18" t="n">
        <x:f>'参数'!$D$5^A187*'参数'!$D$6^B187*'参数'!$D$7^C187*'参数'!$D$8^D187</x:f>
        <x:v>0.000003814697265625</x:v>
      </x:c>
      <x:c r="M187" s="18" t="n">
        <x:f>E187*L187</x:f>
        <x:v>0.00240325927734375</x:v>
      </x:c>
      <x:c r="N187" s="18" t="n">
        <x:f>F187*L187</x:f>
        <x:v>0.001556396484375</x:v>
      </x:c>
      <x:c r="O187" s="18" t="n">
        <x:f>G187*L187</x:f>
        <x:v>0.0018310546875</x:v>
      </x:c>
      <x:c r="P187" s="18" t="n">
        <x:f>H187*L187</x:f>
        <x:v>0</x:v>
      </x:c>
      <x:c r="Q187" s="18" t="n">
        <x:f>I187*L187</x:f>
        <x:v>0</x:v>
      </x:c>
      <x:c r="R187" s="18" t="n">
        <x:f>J187*L187</x:f>
        <x:v>0</x:v>
      </x:c>
      <x:c r="S187" s="18" t="n">
        <x:f>K187*L187</x:f>
        <x:v>0.0018310546875</x:v>
      </x:c>
    </x:row>
    <x:row r="188" ht="27" customHeight="1">
      <x:c r="A188" s="13" t="n">
        <x:v>4</x:v>
      </x:c>
      <x:c r="B188" s="13" t="n">
        <x:v>4</x:v>
      </x:c>
      <x:c r="C188" s="13" t="n">
        <x:v>1</x:v>
      </x:c>
      <x:c r="D188" s="13" t="n">
        <x:v>0</x:v>
      </x:c>
      <x:c r="E188" s="13" t="n">
        <x:v>630</x:v>
      </x:c>
      <x:c r="F188" s="13" t="n">
        <x:v>408</x:v>
      </x:c>
      <x:c r="G188" s="13" t="n">
        <x:v>480</x:v>
      </x:c>
      <x:c r="H188" s="13" t="n">
        <x:v>0</x:v>
      </x:c>
      <x:c r="I188" s="13" t="n">
        <x:v>0</x:v>
      </x:c>
      <x:c r="J188" s="13" t="n">
        <x:v>0</x:v>
      </x:c>
      <x:c r="K188" s="13" t="n">
        <x:v>480</x:v>
      </x:c>
      <x:c r="L188" s="19" t="n">
        <x:f>'参数'!$D$5^A188*'参数'!$D$6^B188*'参数'!$D$7^C188*'参数'!$D$8^D188</x:f>
        <x:v>0.000003814697265625</x:v>
      </x:c>
      <x:c r="M188" s="19" t="n">
        <x:f>E188*L188</x:f>
        <x:v>0.00240325927734375</x:v>
      </x:c>
      <x:c r="N188" s="19" t="n">
        <x:f>F188*L188</x:f>
        <x:v>0.001556396484375</x:v>
      </x:c>
      <x:c r="O188" s="19" t="n">
        <x:f>G188*L188</x:f>
        <x:v>0.0018310546875</x:v>
      </x:c>
      <x:c r="P188" s="19" t="n">
        <x:f>H188*L188</x:f>
        <x:v>0</x:v>
      </x:c>
      <x:c r="Q188" s="19" t="n">
        <x:f>I188*L188</x:f>
        <x:v>0</x:v>
      </x:c>
      <x:c r="R188" s="19" t="n">
        <x:f>J188*L188</x:f>
        <x:v>0</x:v>
      </x:c>
      <x:c r="S188" s="19" t="n">
        <x:f>K188*L188</x:f>
        <x:v>0.0018310546875</x:v>
      </x:c>
    </x:row>
    <x:row r="189" ht="27" customHeight="1">
      <x:c r="A189" s="12" t="n">
        <x:v>4</x:v>
      </x:c>
      <x:c r="B189" s="12" t="n">
        <x:v>5</x:v>
      </x:c>
      <x:c r="C189" s="12" t="n">
        <x:v>0</x:v>
      </x:c>
      <x:c r="D189" s="12" t="n">
        <x:v>0</x:v>
      </x:c>
      <x:c r="E189" s="12" t="n">
        <x:v>126</x:v>
      </x:c>
      <x:c r="F189" s="12" t="n">
        <x:v>110</x:v>
      </x:c>
      <x:c r="G189" s="12" t="n">
        <x:v>124</x:v>
      </x:c>
      <x:c r="H189" s="12" t="n">
        <x:v>22</x:v>
      </x:c>
      <x:c r="I189" s="12" t="n">
        <x:v>0</x:v>
      </x:c>
      <x:c r="J189" s="12" t="n">
        <x:v>0</x:v>
      </x:c>
      <x:c r="K189" s="12" t="n">
        <x:v>146</x:v>
      </x:c>
      <x:c r="L189" s="18" t="n">
        <x:f>'参数'!$D$5^A189*'参数'!$D$6^B189*'参数'!$D$7^C189*'参数'!$D$8^D189</x:f>
        <x:v>0.000003814697265625</x:v>
      </x:c>
      <x:c r="M189" s="18" t="n">
        <x:f>E189*L189</x:f>
        <x:v>0.00048065185546875</x:v>
      </x:c>
      <x:c r="N189" s="18" t="n">
        <x:f>F189*L189</x:f>
        <x:v>0.00041961669921875</x:v>
      </x:c>
      <x:c r="O189" s="18" t="n">
        <x:f>G189*L189</x:f>
        <x:v>0.0004730224609375</x:v>
      </x:c>
      <x:c r="P189" s="18" t="n">
        <x:f>H189*L189</x:f>
        <x:v>0.00008392333984375</x:v>
      </x:c>
      <x:c r="Q189" s="18" t="n">
        <x:f>I189*L189</x:f>
        <x:v>0</x:v>
      </x:c>
      <x:c r="R189" s="18" t="n">
        <x:f>J189*L189</x:f>
        <x:v>0</x:v>
      </x:c>
      <x:c r="S189" s="18" t="n">
        <x:f>K189*L189</x:f>
        <x:v>0.00055694580078125</x:v>
      </x:c>
    </x:row>
    <x:row r="190" ht="27" customHeight="1">
      <x:c r="A190" s="13" t="n">
        <x:v>5</x:v>
      </x:c>
      <x:c r="B190" s="13" t="n">
        <x:v>0</x:v>
      </x:c>
      <x:c r="C190" s="13" t="n">
        <x:v>0</x:v>
      </x:c>
      <x:c r="D190" s="13" t="n">
        <x:v>4</x:v>
      </x:c>
      <x:c r="E190" s="13" t="n">
        <x:v>126</x:v>
      </x:c>
      <x:c r="F190" s="13" t="n">
        <x:v>110</x:v>
      </x:c>
      <x:c r="G190" s="13" t="n">
        <x:v>124</x:v>
      </x:c>
      <x:c r="H190" s="13" t="n">
        <x:v>22</x:v>
      </x:c>
      <x:c r="I190" s="13" t="n">
        <x:v>0</x:v>
      </x:c>
      <x:c r="J190" s="13" t="n">
        <x:v>0</x:v>
      </x:c>
      <x:c r="K190" s="13" t="n">
        <x:v>146</x:v>
      </x:c>
      <x:c r="L190" s="19" t="n">
        <x:f>'参数'!$D$5^A190*'参数'!$D$6^B190*'参数'!$D$7^C190*'参数'!$D$8^D190</x:f>
        <x:v>0.000003814697265625</x:v>
      </x:c>
      <x:c r="M190" s="19" t="n">
        <x:f>E190*L190</x:f>
        <x:v>0.00048065185546875</x:v>
      </x:c>
      <x:c r="N190" s="19" t="n">
        <x:f>F190*L190</x:f>
        <x:v>0.00041961669921875</x:v>
      </x:c>
      <x:c r="O190" s="19" t="n">
        <x:f>G190*L190</x:f>
        <x:v>0.0004730224609375</x:v>
      </x:c>
      <x:c r="P190" s="19" t="n">
        <x:f>H190*L190</x:f>
        <x:v>0.00008392333984375</x:v>
      </x:c>
      <x:c r="Q190" s="19" t="n">
        <x:f>I190*L190</x:f>
        <x:v>0</x:v>
      </x:c>
      <x:c r="R190" s="19" t="n">
        <x:f>J190*L190</x:f>
        <x:v>0</x:v>
      </x:c>
      <x:c r="S190" s="19" t="n">
        <x:f>K190*L190</x:f>
        <x:v>0.00055694580078125</x:v>
      </x:c>
    </x:row>
    <x:row r="191" ht="27" customHeight="1">
      <x:c r="A191" s="12" t="n">
        <x:v>5</x:v>
      </x:c>
      <x:c r="B191" s="12" t="n">
        <x:v>0</x:v>
      </x:c>
      <x:c r="C191" s="12" t="n">
        <x:v>1</x:v>
      </x:c>
      <x:c r="D191" s="12" t="n">
        <x:v>3</x:v>
      </x:c>
      <x:c r="E191" s="12" t="n">
        <x:v>504</x:v>
      </x:c>
      <x:c r="F191" s="12" t="n">
        <x:v>404</x:v>
      </x:c>
      <x:c r="G191" s="12" t="n">
        <x:v>352</x:v>
      </x:c>
      <x:c r="H191" s="12" t="n">
        <x:v>88</x:v>
      </x:c>
      <x:c r="I191" s="12" t="n">
        <x:v>0</x:v>
      </x:c>
      <x:c r="J191" s="12" t="n">
        <x:v>0</x:v>
      </x:c>
      <x:c r="K191" s="12" t="n">
        <x:v>440</x:v>
      </x:c>
      <x:c r="L191" s="18" t="n">
        <x:f>'参数'!$D$5^A191*'参数'!$D$6^B191*'参数'!$D$7^C191*'参数'!$D$8^D191</x:f>
        <x:v>0.000003814697265625</x:v>
      </x:c>
      <x:c r="M191" s="18" t="n">
        <x:f>E191*L191</x:f>
        <x:v>0.001922607421875</x:v>
      </x:c>
      <x:c r="N191" s="18" t="n">
        <x:f>F191*L191</x:f>
        <x:v>0.0015411376953125</x:v>
      </x:c>
      <x:c r="O191" s="18" t="n">
        <x:f>G191*L191</x:f>
        <x:v>0.0013427734375</x:v>
      </x:c>
      <x:c r="P191" s="18" t="n">
        <x:f>H191*L191</x:f>
        <x:v>0.000335693359375</x:v>
      </x:c>
      <x:c r="Q191" s="18" t="n">
        <x:f>I191*L191</x:f>
        <x:v>0</x:v>
      </x:c>
      <x:c r="R191" s="18" t="n">
        <x:f>J191*L191</x:f>
        <x:v>0</x:v>
      </x:c>
      <x:c r="S191" s="18" t="n">
        <x:f>K191*L191</x:f>
        <x:v>0.001678466796875</x:v>
      </x:c>
    </x:row>
    <x:row r="192" ht="27" customHeight="1">
      <x:c r="A192" s="13" t="n">
        <x:v>5</x:v>
      </x:c>
      <x:c r="B192" s="13" t="n">
        <x:v>0</x:v>
      </x:c>
      <x:c r="C192" s="13" t="n">
        <x:v>2</x:v>
      </x:c>
      <x:c r="D192" s="13" t="n">
        <x:v>2</x:v>
      </x:c>
      <x:c r="E192" s="13" t="n">
        <x:v>756</x:v>
      </x:c>
      <x:c r="F192" s="13" t="n">
        <x:v>588</x:v>
      </x:c>
      <x:c r="G192" s="13" t="n">
        <x:v>456</x:v>
      </x:c>
      <x:c r="H192" s="13" t="n">
        <x:v>132</x:v>
      </x:c>
      <x:c r="I192" s="13" t="n">
        <x:v>0</x:v>
      </x:c>
      <x:c r="J192" s="13" t="n">
        <x:v>0</x:v>
      </x:c>
      <x:c r="K192" s="13" t="n">
        <x:v>588</x:v>
      </x:c>
      <x:c r="L192" s="19" t="n">
        <x:f>'参数'!$D$5^A192*'参数'!$D$6^B192*'参数'!$D$7^C192*'参数'!$D$8^D192</x:f>
        <x:v>0.000003814697265625</x:v>
      </x:c>
      <x:c r="M192" s="19" t="n">
        <x:f>E192*L192</x:f>
        <x:v>0.0028839111328125</x:v>
      </x:c>
      <x:c r="N192" s="19" t="n">
        <x:f>F192*L192</x:f>
        <x:v>0.0022430419921875</x:v>
      </x:c>
      <x:c r="O192" s="19" t="n">
        <x:f>G192*L192</x:f>
        <x:v>0.001739501953125</x:v>
      </x:c>
      <x:c r="P192" s="19" t="n">
        <x:f>H192*L192</x:f>
        <x:v>0.0005035400390625</x:v>
      </x:c>
      <x:c r="Q192" s="19" t="n">
        <x:f>I192*L192</x:f>
        <x:v>0</x:v>
      </x:c>
      <x:c r="R192" s="19" t="n">
        <x:f>J192*L192</x:f>
        <x:v>0</x:v>
      </x:c>
      <x:c r="S192" s="19" t="n">
        <x:f>K192*L192</x:f>
        <x:v>0.0022430419921875</x:v>
      </x:c>
    </x:row>
    <x:row r="193" ht="27" customHeight="1">
      <x:c r="A193" s="12" t="n">
        <x:v>5</x:v>
      </x:c>
      <x:c r="B193" s="12" t="n">
        <x:v>0</x:v>
      </x:c>
      <x:c r="C193" s="12" t="n">
        <x:v>3</x:v>
      </x:c>
      <x:c r="D193" s="12" t="n">
        <x:v>1</x:v>
      </x:c>
      <x:c r="E193" s="12" t="n">
        <x:v>504</x:v>
      </x:c>
      <x:c r="F193" s="12" t="n">
        <x:v>404</x:v>
      </x:c>
      <x:c r="G193" s="12" t="n">
        <x:v>352</x:v>
      </x:c>
      <x:c r="H193" s="12" t="n">
        <x:v>88</x:v>
      </x:c>
      <x:c r="I193" s="12" t="n">
        <x:v>0</x:v>
      </x:c>
      <x:c r="J193" s="12" t="n">
        <x:v>0</x:v>
      </x:c>
      <x:c r="K193" s="12" t="n">
        <x:v>440</x:v>
      </x:c>
      <x:c r="L193" s="18" t="n">
        <x:f>'参数'!$D$5^A193*'参数'!$D$6^B193*'参数'!$D$7^C193*'参数'!$D$8^D193</x:f>
        <x:v>0.000003814697265625</x:v>
      </x:c>
      <x:c r="M193" s="18" t="n">
        <x:f>E193*L193</x:f>
        <x:v>0.001922607421875</x:v>
      </x:c>
      <x:c r="N193" s="18" t="n">
        <x:f>F193*L193</x:f>
        <x:v>0.0015411376953125</x:v>
      </x:c>
      <x:c r="O193" s="18" t="n">
        <x:f>G193*L193</x:f>
        <x:v>0.0013427734375</x:v>
      </x:c>
      <x:c r="P193" s="18" t="n">
        <x:f>H193*L193</x:f>
        <x:v>0.000335693359375</x:v>
      </x:c>
      <x:c r="Q193" s="18" t="n">
        <x:f>I193*L193</x:f>
        <x:v>0</x:v>
      </x:c>
      <x:c r="R193" s="18" t="n">
        <x:f>J193*L193</x:f>
        <x:v>0</x:v>
      </x:c>
      <x:c r="S193" s="18" t="n">
        <x:f>K193*L193</x:f>
        <x:v>0.001678466796875</x:v>
      </x:c>
    </x:row>
    <x:row r="194" ht="27" customHeight="1">
      <x:c r="A194" s="13" t="n">
        <x:v>5</x:v>
      </x:c>
      <x:c r="B194" s="13" t="n">
        <x:v>0</x:v>
      </x:c>
      <x:c r="C194" s="13" t="n">
        <x:v>4</x:v>
      </x:c>
      <x:c r="D194" s="13" t="n">
        <x:v>0</x:v>
      </x:c>
      <x:c r="E194" s="13" t="n">
        <x:v>126</x:v>
      </x:c>
      <x:c r="F194" s="13" t="n">
        <x:v>110</x:v>
      </x:c>
      <x:c r="G194" s="13" t="n">
        <x:v>124</x:v>
      </x:c>
      <x:c r="H194" s="13" t="n">
        <x:v>22</x:v>
      </x:c>
      <x:c r="I194" s="13" t="n">
        <x:v>0</x:v>
      </x:c>
      <x:c r="J194" s="13" t="n">
        <x:v>0</x:v>
      </x:c>
      <x:c r="K194" s="13" t="n">
        <x:v>146</x:v>
      </x:c>
      <x:c r="L194" s="19" t="n">
        <x:f>'参数'!$D$5^A194*'参数'!$D$6^B194*'参数'!$D$7^C194*'参数'!$D$8^D194</x:f>
        <x:v>0.000003814697265625</x:v>
      </x:c>
      <x:c r="M194" s="19" t="n">
        <x:f>E194*L194</x:f>
        <x:v>0.00048065185546875</x:v>
      </x:c>
      <x:c r="N194" s="19" t="n">
        <x:f>F194*L194</x:f>
        <x:v>0.00041961669921875</x:v>
      </x:c>
      <x:c r="O194" s="19" t="n">
        <x:f>G194*L194</x:f>
        <x:v>0.0004730224609375</x:v>
      </x:c>
      <x:c r="P194" s="19" t="n">
        <x:f>H194*L194</x:f>
        <x:v>0.00008392333984375</x:v>
      </x:c>
      <x:c r="Q194" s="19" t="n">
        <x:f>I194*L194</x:f>
        <x:v>0</x:v>
      </x:c>
      <x:c r="R194" s="19" t="n">
        <x:f>J194*L194</x:f>
        <x:v>0</x:v>
      </x:c>
      <x:c r="S194" s="19" t="n">
        <x:f>K194*L194</x:f>
        <x:v>0.00055694580078125</x:v>
      </x:c>
    </x:row>
    <x:row r="195" ht="27" customHeight="1">
      <x:c r="A195" s="12" t="n">
        <x:v>5</x:v>
      </x:c>
      <x:c r="B195" s="12" t="n">
        <x:v>1</x:v>
      </x:c>
      <x:c r="C195" s="12" t="n">
        <x:v>0</x:v>
      </x:c>
      <x:c r="D195" s="12" t="n">
        <x:v>3</x:v>
      </x:c>
      <x:c r="E195" s="12" t="n">
        <x:v>504</x:v>
      </x:c>
      <x:c r="F195" s="12" t="n">
        <x:v>404</x:v>
      </x:c>
      <x:c r="G195" s="12" t="n">
        <x:v>352</x:v>
      </x:c>
      <x:c r="H195" s="12" t="n">
        <x:v>88</x:v>
      </x:c>
      <x:c r="I195" s="12" t="n">
        <x:v>0</x:v>
      </x:c>
      <x:c r="J195" s="12" t="n">
        <x:v>0</x:v>
      </x:c>
      <x:c r="K195" s="12" t="n">
        <x:v>440</x:v>
      </x:c>
      <x:c r="L195" s="18" t="n">
        <x:f>'参数'!$D$5^A195*'参数'!$D$6^B195*'参数'!$D$7^C195*'参数'!$D$8^D195</x:f>
        <x:v>0.000003814697265625</x:v>
      </x:c>
      <x:c r="M195" s="18" t="n">
        <x:f>E195*L195</x:f>
        <x:v>0.001922607421875</x:v>
      </x:c>
      <x:c r="N195" s="18" t="n">
        <x:f>F195*L195</x:f>
        <x:v>0.0015411376953125</x:v>
      </x:c>
      <x:c r="O195" s="18" t="n">
        <x:f>G195*L195</x:f>
        <x:v>0.0013427734375</x:v>
      </x:c>
      <x:c r="P195" s="18" t="n">
        <x:f>H195*L195</x:f>
        <x:v>0.000335693359375</x:v>
      </x:c>
      <x:c r="Q195" s="18" t="n">
        <x:f>I195*L195</x:f>
        <x:v>0</x:v>
      </x:c>
      <x:c r="R195" s="18" t="n">
        <x:f>J195*L195</x:f>
        <x:v>0</x:v>
      </x:c>
      <x:c r="S195" s="18" t="n">
        <x:f>K195*L195</x:f>
        <x:v>0.001678466796875</x:v>
      </x:c>
    </x:row>
    <x:row r="196" ht="27" customHeight="1">
      <x:c r="A196" s="13" t="n">
        <x:v>5</x:v>
      </x:c>
      <x:c r="B196" s="13" t="n">
        <x:v>1</x:v>
      </x:c>
      <x:c r="C196" s="13" t="n">
        <x:v>1</x:v>
      </x:c>
      <x:c r="D196" s="13" t="n">
        <x:v>2</x:v>
      </x:c>
      <x:c r="E196" s="13" t="n">
        <x:v>1512</x:v>
      </x:c>
      <x:c r="F196" s="13" t="n">
        <x:v>1176</x:v>
      </x:c>
      <x:c r="G196" s="13" t="n">
        <x:v>912</x:v>
      </x:c>
      <x:c r="H196" s="13" t="n">
        <x:v>264</x:v>
      </x:c>
      <x:c r="I196" s="13" t="n">
        <x:v>0</x:v>
      </x:c>
      <x:c r="J196" s="13" t="n">
        <x:v>0</x:v>
      </x:c>
      <x:c r="K196" s="13" t="n">
        <x:v>1176</x:v>
      </x:c>
      <x:c r="L196" s="19" t="n">
        <x:f>'参数'!$D$5^A196*'参数'!$D$6^B196*'参数'!$D$7^C196*'参数'!$D$8^D196</x:f>
        <x:v>0.000003814697265625</x:v>
      </x:c>
      <x:c r="M196" s="19" t="n">
        <x:f>E196*L196</x:f>
        <x:v>0.005767822265625</x:v>
      </x:c>
      <x:c r="N196" s="19" t="n">
        <x:f>F196*L196</x:f>
        <x:v>0.004486083984375</x:v>
      </x:c>
      <x:c r="O196" s="19" t="n">
        <x:f>G196*L196</x:f>
        <x:v>0.00347900390625</x:v>
      </x:c>
      <x:c r="P196" s="19" t="n">
        <x:f>H196*L196</x:f>
        <x:v>0.001007080078125</x:v>
      </x:c>
      <x:c r="Q196" s="19" t="n">
        <x:f>I196*L196</x:f>
        <x:v>0</x:v>
      </x:c>
      <x:c r="R196" s="19" t="n">
        <x:f>J196*L196</x:f>
        <x:v>0</x:v>
      </x:c>
      <x:c r="S196" s="19" t="n">
        <x:f>K196*L196</x:f>
        <x:v>0.004486083984375</x:v>
      </x:c>
    </x:row>
    <x:row r="197" ht="27" customHeight="1">
      <x:c r="A197" s="12" t="n">
        <x:v>5</x:v>
      </x:c>
      <x:c r="B197" s="12" t="n">
        <x:v>1</x:v>
      </x:c>
      <x:c r="C197" s="12" t="n">
        <x:v>2</x:v>
      </x:c>
      <x:c r="D197" s="12" t="n">
        <x:v>1</x:v>
      </x:c>
      <x:c r="E197" s="12" t="n">
        <x:v>1512</x:v>
      </x:c>
      <x:c r="F197" s="12" t="n">
        <x:v>1176</x:v>
      </x:c>
      <x:c r="G197" s="12" t="n">
        <x:v>912</x:v>
      </x:c>
      <x:c r="H197" s="12" t="n">
        <x:v>264</x:v>
      </x:c>
      <x:c r="I197" s="12" t="n">
        <x:v>0</x:v>
      </x:c>
      <x:c r="J197" s="12" t="n">
        <x:v>0</x:v>
      </x:c>
      <x:c r="K197" s="12" t="n">
        <x:v>1176</x:v>
      </x:c>
      <x:c r="L197" s="18" t="n">
        <x:f>'参数'!$D$5^A197*'参数'!$D$6^B197*'参数'!$D$7^C197*'参数'!$D$8^D197</x:f>
        <x:v>0.000003814697265625</x:v>
      </x:c>
      <x:c r="M197" s="18" t="n">
        <x:f>E197*L197</x:f>
        <x:v>0.005767822265625</x:v>
      </x:c>
      <x:c r="N197" s="18" t="n">
        <x:f>F197*L197</x:f>
        <x:v>0.004486083984375</x:v>
      </x:c>
      <x:c r="O197" s="18" t="n">
        <x:f>G197*L197</x:f>
        <x:v>0.00347900390625</x:v>
      </x:c>
      <x:c r="P197" s="18" t="n">
        <x:f>H197*L197</x:f>
        <x:v>0.001007080078125</x:v>
      </x:c>
      <x:c r="Q197" s="18" t="n">
        <x:f>I197*L197</x:f>
        <x:v>0</x:v>
      </x:c>
      <x:c r="R197" s="18" t="n">
        <x:f>J197*L197</x:f>
        <x:v>0</x:v>
      </x:c>
      <x:c r="S197" s="18" t="n">
        <x:f>K197*L197</x:f>
        <x:v>0.004486083984375</x:v>
      </x:c>
    </x:row>
    <x:row r="198" ht="27" customHeight="1">
      <x:c r="A198" s="13" t="n">
        <x:v>5</x:v>
      </x:c>
      <x:c r="B198" s="13" t="n">
        <x:v>1</x:v>
      </x:c>
      <x:c r="C198" s="13" t="n">
        <x:v>3</x:v>
      </x:c>
      <x:c r="D198" s="13" t="n">
        <x:v>0</x:v>
      </x:c>
      <x:c r="E198" s="13" t="n">
        <x:v>504</x:v>
      </x:c>
      <x:c r="F198" s="13" t="n">
        <x:v>404</x:v>
      </x:c>
      <x:c r="G198" s="13" t="n">
        <x:v>352</x:v>
      </x:c>
      <x:c r="H198" s="13" t="n">
        <x:v>88</x:v>
      </x:c>
      <x:c r="I198" s="13" t="n">
        <x:v>0</x:v>
      </x:c>
      <x:c r="J198" s="13" t="n">
        <x:v>0</x:v>
      </x:c>
      <x:c r="K198" s="13" t="n">
        <x:v>440</x:v>
      </x:c>
      <x:c r="L198" s="19" t="n">
        <x:f>'参数'!$D$5^A198*'参数'!$D$6^B198*'参数'!$D$7^C198*'参数'!$D$8^D198</x:f>
        <x:v>0.000003814697265625</x:v>
      </x:c>
      <x:c r="M198" s="19" t="n">
        <x:f>E198*L198</x:f>
        <x:v>0.001922607421875</x:v>
      </x:c>
      <x:c r="N198" s="19" t="n">
        <x:f>F198*L198</x:f>
        <x:v>0.0015411376953125</x:v>
      </x:c>
      <x:c r="O198" s="19" t="n">
        <x:f>G198*L198</x:f>
        <x:v>0.0013427734375</x:v>
      </x:c>
      <x:c r="P198" s="19" t="n">
        <x:f>H198*L198</x:f>
        <x:v>0.000335693359375</x:v>
      </x:c>
      <x:c r="Q198" s="19" t="n">
        <x:f>I198*L198</x:f>
        <x:v>0</x:v>
      </x:c>
      <x:c r="R198" s="19" t="n">
        <x:f>J198*L198</x:f>
        <x:v>0</x:v>
      </x:c>
      <x:c r="S198" s="19" t="n">
        <x:f>K198*L198</x:f>
        <x:v>0.001678466796875</x:v>
      </x:c>
    </x:row>
    <x:row r="199" ht="27" customHeight="1">
      <x:c r="A199" s="12" t="n">
        <x:v>5</x:v>
      </x:c>
      <x:c r="B199" s="12" t="n">
        <x:v>2</x:v>
      </x:c>
      <x:c r="C199" s="12" t="n">
        <x:v>0</x:v>
      </x:c>
      <x:c r="D199" s="12" t="n">
        <x:v>2</x:v>
      </x:c>
      <x:c r="E199" s="12" t="n">
        <x:v>756</x:v>
      </x:c>
      <x:c r="F199" s="12" t="n">
        <x:v>588</x:v>
      </x:c>
      <x:c r="G199" s="12" t="n">
        <x:v>456</x:v>
      </x:c>
      <x:c r="H199" s="12" t="n">
        <x:v>132</x:v>
      </x:c>
      <x:c r="I199" s="12" t="n">
        <x:v>0</x:v>
      </x:c>
      <x:c r="J199" s="12" t="n">
        <x:v>0</x:v>
      </x:c>
      <x:c r="K199" s="12" t="n">
        <x:v>588</x:v>
      </x:c>
      <x:c r="L199" s="18" t="n">
        <x:f>'参数'!$D$5^A199*'参数'!$D$6^B199*'参数'!$D$7^C199*'参数'!$D$8^D199</x:f>
        <x:v>0.000003814697265625</x:v>
      </x:c>
      <x:c r="M199" s="18" t="n">
        <x:f>E199*L199</x:f>
        <x:v>0.0028839111328125</x:v>
      </x:c>
      <x:c r="N199" s="18" t="n">
        <x:f>F199*L199</x:f>
        <x:v>0.0022430419921875</x:v>
      </x:c>
      <x:c r="O199" s="18" t="n">
        <x:f>G199*L199</x:f>
        <x:v>0.001739501953125</x:v>
      </x:c>
      <x:c r="P199" s="18" t="n">
        <x:f>H199*L199</x:f>
        <x:v>0.0005035400390625</x:v>
      </x:c>
      <x:c r="Q199" s="18" t="n">
        <x:f>I199*L199</x:f>
        <x:v>0</x:v>
      </x:c>
      <x:c r="R199" s="18" t="n">
        <x:f>J199*L199</x:f>
        <x:v>0</x:v>
      </x:c>
      <x:c r="S199" s="18" t="n">
        <x:f>K199*L199</x:f>
        <x:v>0.0022430419921875</x:v>
      </x:c>
    </x:row>
    <x:row r="200" ht="27" customHeight="1">
      <x:c r="A200" s="13" t="n">
        <x:v>5</x:v>
      </x:c>
      <x:c r="B200" s="13" t="n">
        <x:v>2</x:v>
      </x:c>
      <x:c r="C200" s="13" t="n">
        <x:v>1</x:v>
      </x:c>
      <x:c r="D200" s="13" t="n">
        <x:v>1</x:v>
      </x:c>
      <x:c r="E200" s="13" t="n">
        <x:v>1512</x:v>
      </x:c>
      <x:c r="F200" s="13" t="n">
        <x:v>1176</x:v>
      </x:c>
      <x:c r="G200" s="13" t="n">
        <x:v>912</x:v>
      </x:c>
      <x:c r="H200" s="13" t="n">
        <x:v>264</x:v>
      </x:c>
      <x:c r="I200" s="13" t="n">
        <x:v>0</x:v>
      </x:c>
      <x:c r="J200" s="13" t="n">
        <x:v>0</x:v>
      </x:c>
      <x:c r="K200" s="13" t="n">
        <x:v>1176</x:v>
      </x:c>
      <x:c r="L200" s="19" t="n">
        <x:f>'参数'!$D$5^A200*'参数'!$D$6^B200*'参数'!$D$7^C200*'参数'!$D$8^D200</x:f>
        <x:v>0.000003814697265625</x:v>
      </x:c>
      <x:c r="M200" s="19" t="n">
        <x:f>E200*L200</x:f>
        <x:v>0.005767822265625</x:v>
      </x:c>
      <x:c r="N200" s="19" t="n">
        <x:f>F200*L200</x:f>
        <x:v>0.004486083984375</x:v>
      </x:c>
      <x:c r="O200" s="19" t="n">
        <x:f>G200*L200</x:f>
        <x:v>0.00347900390625</x:v>
      </x:c>
      <x:c r="P200" s="19" t="n">
        <x:f>H200*L200</x:f>
        <x:v>0.001007080078125</x:v>
      </x:c>
      <x:c r="Q200" s="19" t="n">
        <x:f>I200*L200</x:f>
        <x:v>0</x:v>
      </x:c>
      <x:c r="R200" s="19" t="n">
        <x:f>J200*L200</x:f>
        <x:v>0</x:v>
      </x:c>
      <x:c r="S200" s="19" t="n">
        <x:f>K200*L200</x:f>
        <x:v>0.004486083984375</x:v>
      </x:c>
    </x:row>
    <x:row r="201" ht="27" customHeight="1">
      <x:c r="A201" s="12" t="n">
        <x:v>5</x:v>
      </x:c>
      <x:c r="B201" s="12" t="n">
        <x:v>2</x:v>
      </x:c>
      <x:c r="C201" s="12" t="n">
        <x:v>2</x:v>
      </x:c>
      <x:c r="D201" s="12" t="n">
        <x:v>0</x:v>
      </x:c>
      <x:c r="E201" s="12" t="n">
        <x:v>756</x:v>
      </x:c>
      <x:c r="F201" s="12" t="n">
        <x:v>588</x:v>
      </x:c>
      <x:c r="G201" s="12" t="n">
        <x:v>456</x:v>
      </x:c>
      <x:c r="H201" s="12" t="n">
        <x:v>132</x:v>
      </x:c>
      <x:c r="I201" s="12" t="n">
        <x:v>0</x:v>
      </x:c>
      <x:c r="J201" s="12" t="n">
        <x:v>0</x:v>
      </x:c>
      <x:c r="K201" s="12" t="n">
        <x:v>588</x:v>
      </x:c>
      <x:c r="L201" s="18" t="n">
        <x:f>'参数'!$D$5^A201*'参数'!$D$6^B201*'参数'!$D$7^C201*'参数'!$D$8^D201</x:f>
        <x:v>0.000003814697265625</x:v>
      </x:c>
      <x:c r="M201" s="18" t="n">
        <x:f>E201*L201</x:f>
        <x:v>0.0028839111328125</x:v>
      </x:c>
      <x:c r="N201" s="18" t="n">
        <x:f>F201*L201</x:f>
        <x:v>0.0022430419921875</x:v>
      </x:c>
      <x:c r="O201" s="18" t="n">
        <x:f>G201*L201</x:f>
        <x:v>0.001739501953125</x:v>
      </x:c>
      <x:c r="P201" s="18" t="n">
        <x:f>H201*L201</x:f>
        <x:v>0.0005035400390625</x:v>
      </x:c>
      <x:c r="Q201" s="18" t="n">
        <x:f>I201*L201</x:f>
        <x:v>0</x:v>
      </x:c>
      <x:c r="R201" s="18" t="n">
        <x:f>J201*L201</x:f>
        <x:v>0</x:v>
      </x:c>
      <x:c r="S201" s="18" t="n">
        <x:f>K201*L201</x:f>
        <x:v>0.0022430419921875</x:v>
      </x:c>
    </x:row>
    <x:row r="202" ht="27" customHeight="1">
      <x:c r="A202" s="13" t="n">
        <x:v>5</x:v>
      </x:c>
      <x:c r="B202" s="13" t="n">
        <x:v>3</x:v>
      </x:c>
      <x:c r="C202" s="13" t="n">
        <x:v>0</x:v>
      </x:c>
      <x:c r="D202" s="13" t="n">
        <x:v>1</x:v>
      </x:c>
      <x:c r="E202" s="13" t="n">
        <x:v>504</x:v>
      </x:c>
      <x:c r="F202" s="13" t="n">
        <x:v>404</x:v>
      </x:c>
      <x:c r="G202" s="13" t="n">
        <x:v>352</x:v>
      </x:c>
      <x:c r="H202" s="13" t="n">
        <x:v>88</x:v>
      </x:c>
      <x:c r="I202" s="13" t="n">
        <x:v>0</x:v>
      </x:c>
      <x:c r="J202" s="13" t="n">
        <x:v>0</x:v>
      </x:c>
      <x:c r="K202" s="13" t="n">
        <x:v>440</x:v>
      </x:c>
      <x:c r="L202" s="19" t="n">
        <x:f>'参数'!$D$5^A202*'参数'!$D$6^B202*'参数'!$D$7^C202*'参数'!$D$8^D202</x:f>
        <x:v>0.000003814697265625</x:v>
      </x:c>
      <x:c r="M202" s="19" t="n">
        <x:f>E202*L202</x:f>
        <x:v>0.001922607421875</x:v>
      </x:c>
      <x:c r="N202" s="19" t="n">
        <x:f>F202*L202</x:f>
        <x:v>0.0015411376953125</x:v>
      </x:c>
      <x:c r="O202" s="19" t="n">
        <x:f>G202*L202</x:f>
        <x:v>0.0013427734375</x:v>
      </x:c>
      <x:c r="P202" s="19" t="n">
        <x:f>H202*L202</x:f>
        <x:v>0.000335693359375</x:v>
      </x:c>
      <x:c r="Q202" s="19" t="n">
        <x:f>I202*L202</x:f>
        <x:v>0</x:v>
      </x:c>
      <x:c r="R202" s="19" t="n">
        <x:f>J202*L202</x:f>
        <x:v>0</x:v>
      </x:c>
      <x:c r="S202" s="19" t="n">
        <x:f>K202*L202</x:f>
        <x:v>0.001678466796875</x:v>
      </x:c>
    </x:row>
    <x:row r="203" ht="27" customHeight="1">
      <x:c r="A203" s="12" t="n">
        <x:v>5</x:v>
      </x:c>
      <x:c r="B203" s="12" t="n">
        <x:v>3</x:v>
      </x:c>
      <x:c r="C203" s="12" t="n">
        <x:v>1</x:v>
      </x:c>
      <x:c r="D203" s="12" t="n">
        <x:v>0</x:v>
      </x:c>
      <x:c r="E203" s="12" t="n">
        <x:v>504</x:v>
      </x:c>
      <x:c r="F203" s="12" t="n">
        <x:v>404</x:v>
      </x:c>
      <x:c r="G203" s="12" t="n">
        <x:v>352</x:v>
      </x:c>
      <x:c r="H203" s="12" t="n">
        <x:v>88</x:v>
      </x:c>
      <x:c r="I203" s="12" t="n">
        <x:v>0</x:v>
      </x:c>
      <x:c r="J203" s="12" t="n">
        <x:v>0</x:v>
      </x:c>
      <x:c r="K203" s="12" t="n">
        <x:v>440</x:v>
      </x:c>
      <x:c r="L203" s="18" t="n">
        <x:f>'参数'!$D$5^A203*'参数'!$D$6^B203*'参数'!$D$7^C203*'参数'!$D$8^D203</x:f>
        <x:v>0.000003814697265625</x:v>
      </x:c>
      <x:c r="M203" s="18" t="n">
        <x:f>E203*L203</x:f>
        <x:v>0.001922607421875</x:v>
      </x:c>
      <x:c r="N203" s="18" t="n">
        <x:f>F203*L203</x:f>
        <x:v>0.0015411376953125</x:v>
      </x:c>
      <x:c r="O203" s="18" t="n">
        <x:f>G203*L203</x:f>
        <x:v>0.0013427734375</x:v>
      </x:c>
      <x:c r="P203" s="18" t="n">
        <x:f>H203*L203</x:f>
        <x:v>0.000335693359375</x:v>
      </x:c>
      <x:c r="Q203" s="18" t="n">
        <x:f>I203*L203</x:f>
        <x:v>0</x:v>
      </x:c>
      <x:c r="R203" s="18" t="n">
        <x:f>J203*L203</x:f>
        <x:v>0</x:v>
      </x:c>
      <x:c r="S203" s="18" t="n">
        <x:f>K203*L203</x:f>
        <x:v>0.001678466796875</x:v>
      </x:c>
    </x:row>
    <x:row r="204" ht="27" customHeight="1">
      <x:c r="A204" s="13" t="n">
        <x:v>5</x:v>
      </x:c>
      <x:c r="B204" s="13" t="n">
        <x:v>4</x:v>
      </x:c>
      <x:c r="C204" s="13" t="n">
        <x:v>0</x:v>
      </x:c>
      <x:c r="D204" s="13" t="n">
        <x:v>0</x:v>
      </x:c>
      <x:c r="E204" s="13" t="n">
        <x:v>126</x:v>
      </x:c>
      <x:c r="F204" s="13" t="n">
        <x:v>110</x:v>
      </x:c>
      <x:c r="G204" s="13" t="n">
        <x:v>124</x:v>
      </x:c>
      <x:c r="H204" s="13" t="n">
        <x:v>22</x:v>
      </x:c>
      <x:c r="I204" s="13" t="n">
        <x:v>0</x:v>
      </x:c>
      <x:c r="J204" s="13" t="n">
        <x:v>0</x:v>
      </x:c>
      <x:c r="K204" s="13" t="n">
        <x:v>146</x:v>
      </x:c>
      <x:c r="L204" s="19" t="n">
        <x:f>'参数'!$D$5^A204*'参数'!$D$6^B204*'参数'!$D$7^C204*'参数'!$D$8^D204</x:f>
        <x:v>0.000003814697265625</x:v>
      </x:c>
      <x:c r="M204" s="19" t="n">
        <x:f>E204*L204</x:f>
        <x:v>0.00048065185546875</x:v>
      </x:c>
      <x:c r="N204" s="19" t="n">
        <x:f>F204*L204</x:f>
        <x:v>0.00041961669921875</x:v>
      </x:c>
      <x:c r="O204" s="19" t="n">
        <x:f>G204*L204</x:f>
        <x:v>0.0004730224609375</x:v>
      </x:c>
      <x:c r="P204" s="19" t="n">
        <x:f>H204*L204</x:f>
        <x:v>0.00008392333984375</x:v>
      </x:c>
      <x:c r="Q204" s="19" t="n">
        <x:f>I204*L204</x:f>
        <x:v>0</x:v>
      </x:c>
      <x:c r="R204" s="19" t="n">
        <x:f>J204*L204</x:f>
        <x:v>0</x:v>
      </x:c>
      <x:c r="S204" s="19" t="n">
        <x:f>K204*L204</x:f>
        <x:v>0.00055694580078125</x:v>
      </x:c>
    </x:row>
    <x:row r="205" ht="27" customHeight="1">
      <x:c r="A205" s="12" t="n">
        <x:v>6</x:v>
      </x:c>
      <x:c r="B205" s="12" t="n">
        <x:v>0</x:v>
      </x:c>
      <x:c r="C205" s="12" t="n">
        <x:v>0</x:v>
      </x:c>
      <x:c r="D205" s="12" t="n">
        <x:v>3</x:v>
      </x:c>
      <x:c r="E205" s="12" t="n">
        <x:v>84</x:v>
      </x:c>
      <x:c r="F205" s="12" t="n">
        <x:v>84</x:v>
      </x:c>
      <x:c r="G205" s="12" t="n">
        <x:v>28</x:v>
      </x:c>
      <x:c r="H205" s="12" t="n">
        <x:v>46</x:v>
      </x:c>
      <x:c r="I205" s="12" t="n">
        <x:v>16</x:v>
      </x:c>
      <x:c r="J205" s="12" t="n">
        <x:v>0</x:v>
      </x:c>
      <x:c r="K205" s="12" t="n">
        <x:v>90</x:v>
      </x:c>
      <x:c r="L205" s="18" t="n">
        <x:f>'参数'!$D$5^A205*'参数'!$D$6^B205*'参数'!$D$7^C205*'参数'!$D$8^D205</x:f>
        <x:v>0.000003814697265625</x:v>
      </x:c>
      <x:c r="M205" s="18" t="n">
        <x:f>E205*L205</x:f>
        <x:v>0.0003204345703125</x:v>
      </x:c>
      <x:c r="N205" s="18" t="n">
        <x:f>F205*L205</x:f>
        <x:v>0.0003204345703125</x:v>
      </x:c>
      <x:c r="O205" s="18" t="n">
        <x:f>G205*L205</x:f>
        <x:v>0.0001068115234375</x:v>
      </x:c>
      <x:c r="P205" s="18" t="n">
        <x:f>H205*L205</x:f>
        <x:v>0.00017547607421875</x:v>
      </x:c>
      <x:c r="Q205" s="18" t="n">
        <x:f>I205*L205</x:f>
        <x:v>0.00006103515625</x:v>
      </x:c>
      <x:c r="R205" s="18" t="n">
        <x:f>J205*L205</x:f>
        <x:v>0</x:v>
      </x:c>
      <x:c r="S205" s="18" t="n">
        <x:f>K205*L205</x:f>
        <x:v>0.00034332275390625</x:v>
      </x:c>
    </x:row>
    <x:row r="206" ht="27" customHeight="1">
      <x:c r="A206" s="13" t="n">
        <x:v>6</x:v>
      </x:c>
      <x:c r="B206" s="13" t="n">
        <x:v>0</x:v>
      </x:c>
      <x:c r="C206" s="13" t="n">
        <x:v>1</x:v>
      </x:c>
      <x:c r="D206" s="13" t="n">
        <x:v>2</x:v>
      </x:c>
      <x:c r="E206" s="13" t="n">
        <x:v>252</x:v>
      </x:c>
      <x:c r="F206" s="13" t="n">
        <x:v>246</x:v>
      </x:c>
      <x:c r="G206" s="13" t="n">
        <x:v>60</x:v>
      </x:c>
      <x:c r="H206" s="13" t="n">
        <x:v>138</x:v>
      </x:c>
      <x:c r="I206" s="13" t="n">
        <x:v>48</x:v>
      </x:c>
      <x:c r="J206" s="13" t="n">
        <x:v>0</x:v>
      </x:c>
      <x:c r="K206" s="13" t="n">
        <x:v>246</x:v>
      </x:c>
      <x:c r="L206" s="19" t="n">
        <x:f>'参数'!$D$5^A206*'参数'!$D$6^B206*'参数'!$D$7^C206*'参数'!$D$8^D206</x:f>
        <x:v>0.000003814697265625</x:v>
      </x:c>
      <x:c r="M206" s="19" t="n">
        <x:f>E206*L206</x:f>
        <x:v>0.0009613037109375</x:v>
      </x:c>
      <x:c r="N206" s="19" t="n">
        <x:f>F206*L206</x:f>
        <x:v>0.00093841552734375</x:v>
      </x:c>
      <x:c r="O206" s="19" t="n">
        <x:f>G206*L206</x:f>
        <x:v>0.0002288818359375</x:v>
      </x:c>
      <x:c r="P206" s="19" t="n">
        <x:f>H206*L206</x:f>
        <x:v>0.00052642822265625</x:v>
      </x:c>
      <x:c r="Q206" s="19" t="n">
        <x:f>I206*L206</x:f>
        <x:v>0.00018310546875</x:v>
      </x:c>
      <x:c r="R206" s="19" t="n">
        <x:f>J206*L206</x:f>
        <x:v>0</x:v>
      </x:c>
      <x:c r="S206" s="19" t="n">
        <x:f>K206*L206</x:f>
        <x:v>0.00093841552734375</x:v>
      </x:c>
    </x:row>
    <x:row r="207" ht="27" customHeight="1">
      <x:c r="A207" s="12" t="n">
        <x:v>6</x:v>
      </x:c>
      <x:c r="B207" s="12" t="n">
        <x:v>0</x:v>
      </x:c>
      <x:c r="C207" s="12" t="n">
        <x:v>2</x:v>
      </x:c>
      <x:c r="D207" s="12" t="n">
        <x:v>1</x:v>
      </x:c>
      <x:c r="E207" s="12" t="n">
        <x:v>252</x:v>
      </x:c>
      <x:c r="F207" s="12" t="n">
        <x:v>246</x:v>
      </x:c>
      <x:c r="G207" s="12" t="n">
        <x:v>60</x:v>
      </x:c>
      <x:c r="H207" s="12" t="n">
        <x:v>138</x:v>
      </x:c>
      <x:c r="I207" s="12" t="n">
        <x:v>48</x:v>
      </x:c>
      <x:c r="J207" s="12" t="n">
        <x:v>0</x:v>
      </x:c>
      <x:c r="K207" s="12" t="n">
        <x:v>246</x:v>
      </x:c>
      <x:c r="L207" s="18" t="n">
        <x:f>'参数'!$D$5^A207*'参数'!$D$6^B207*'参数'!$D$7^C207*'参数'!$D$8^D207</x:f>
        <x:v>0.000003814697265625</x:v>
      </x:c>
      <x:c r="M207" s="18" t="n">
        <x:f>E207*L207</x:f>
        <x:v>0.0009613037109375</x:v>
      </x:c>
      <x:c r="N207" s="18" t="n">
        <x:f>F207*L207</x:f>
        <x:v>0.00093841552734375</x:v>
      </x:c>
      <x:c r="O207" s="18" t="n">
        <x:f>G207*L207</x:f>
        <x:v>0.0002288818359375</x:v>
      </x:c>
      <x:c r="P207" s="18" t="n">
        <x:f>H207*L207</x:f>
        <x:v>0.00052642822265625</x:v>
      </x:c>
      <x:c r="Q207" s="18" t="n">
        <x:f>I207*L207</x:f>
        <x:v>0.00018310546875</x:v>
      </x:c>
      <x:c r="R207" s="18" t="n">
        <x:f>J207*L207</x:f>
        <x:v>0</x:v>
      </x:c>
      <x:c r="S207" s="18" t="n">
        <x:f>K207*L207</x:f>
        <x:v>0.00093841552734375</x:v>
      </x:c>
    </x:row>
    <x:row r="208" ht="27" customHeight="1">
      <x:c r="A208" s="13" t="n">
        <x:v>6</x:v>
      </x:c>
      <x:c r="B208" s="13" t="n">
        <x:v>0</x:v>
      </x:c>
      <x:c r="C208" s="13" t="n">
        <x:v>3</x:v>
      </x:c>
      <x:c r="D208" s="13" t="n">
        <x:v>0</x:v>
      </x:c>
      <x:c r="E208" s="13" t="n">
        <x:v>84</x:v>
      </x:c>
      <x:c r="F208" s="13" t="n">
        <x:v>84</x:v>
      </x:c>
      <x:c r="G208" s="13" t="n">
        <x:v>28</x:v>
      </x:c>
      <x:c r="H208" s="13" t="n">
        <x:v>46</x:v>
      </x:c>
      <x:c r="I208" s="13" t="n">
        <x:v>16</x:v>
      </x:c>
      <x:c r="J208" s="13" t="n">
        <x:v>0</x:v>
      </x:c>
      <x:c r="K208" s="13" t="n">
        <x:v>90</x:v>
      </x:c>
      <x:c r="L208" s="19" t="n">
        <x:f>'参数'!$D$5^A208*'参数'!$D$6^B208*'参数'!$D$7^C208*'参数'!$D$8^D208</x:f>
        <x:v>0.000003814697265625</x:v>
      </x:c>
      <x:c r="M208" s="19" t="n">
        <x:f>E208*L208</x:f>
        <x:v>0.0003204345703125</x:v>
      </x:c>
      <x:c r="N208" s="19" t="n">
        <x:f>F208*L208</x:f>
        <x:v>0.0003204345703125</x:v>
      </x:c>
      <x:c r="O208" s="19" t="n">
        <x:f>G208*L208</x:f>
        <x:v>0.0001068115234375</x:v>
      </x:c>
      <x:c r="P208" s="19" t="n">
        <x:f>H208*L208</x:f>
        <x:v>0.00017547607421875</x:v>
      </x:c>
      <x:c r="Q208" s="19" t="n">
        <x:f>I208*L208</x:f>
        <x:v>0.00006103515625</x:v>
      </x:c>
      <x:c r="R208" s="19" t="n">
        <x:f>J208*L208</x:f>
        <x:v>0</x:v>
      </x:c>
      <x:c r="S208" s="19" t="n">
        <x:f>K208*L208</x:f>
        <x:v>0.00034332275390625</x:v>
      </x:c>
    </x:row>
    <x:row r="209" ht="27" customHeight="1">
      <x:c r="A209" s="12" t="n">
        <x:v>6</x:v>
      </x:c>
      <x:c r="B209" s="12" t="n">
        <x:v>1</x:v>
      </x:c>
      <x:c r="C209" s="12" t="n">
        <x:v>0</x:v>
      </x:c>
      <x:c r="D209" s="12" t="n">
        <x:v>2</x:v>
      </x:c>
      <x:c r="E209" s="12" t="n">
        <x:v>252</x:v>
      </x:c>
      <x:c r="F209" s="12" t="n">
        <x:v>246</x:v>
      </x:c>
      <x:c r="G209" s="12" t="n">
        <x:v>60</x:v>
      </x:c>
      <x:c r="H209" s="12" t="n">
        <x:v>138</x:v>
      </x:c>
      <x:c r="I209" s="12" t="n">
        <x:v>48</x:v>
      </x:c>
      <x:c r="J209" s="12" t="n">
        <x:v>0</x:v>
      </x:c>
      <x:c r="K209" s="12" t="n">
        <x:v>246</x:v>
      </x:c>
      <x:c r="L209" s="18" t="n">
        <x:f>'参数'!$D$5^A209*'参数'!$D$6^B209*'参数'!$D$7^C209*'参数'!$D$8^D209</x:f>
        <x:v>0.000003814697265625</x:v>
      </x:c>
      <x:c r="M209" s="18" t="n">
        <x:f>E209*L209</x:f>
        <x:v>0.0009613037109375</x:v>
      </x:c>
      <x:c r="N209" s="18" t="n">
        <x:f>F209*L209</x:f>
        <x:v>0.00093841552734375</x:v>
      </x:c>
      <x:c r="O209" s="18" t="n">
        <x:f>G209*L209</x:f>
        <x:v>0.0002288818359375</x:v>
      </x:c>
      <x:c r="P209" s="18" t="n">
        <x:f>H209*L209</x:f>
        <x:v>0.00052642822265625</x:v>
      </x:c>
      <x:c r="Q209" s="18" t="n">
        <x:f>I209*L209</x:f>
        <x:v>0.00018310546875</x:v>
      </x:c>
      <x:c r="R209" s="18" t="n">
        <x:f>J209*L209</x:f>
        <x:v>0</x:v>
      </x:c>
      <x:c r="S209" s="18" t="n">
        <x:f>K209*L209</x:f>
        <x:v>0.00093841552734375</x:v>
      </x:c>
    </x:row>
    <x:row r="210" ht="27" customHeight="1">
      <x:c r="A210" s="13" t="n">
        <x:v>6</x:v>
      </x:c>
      <x:c r="B210" s="13" t="n">
        <x:v>1</x:v>
      </x:c>
      <x:c r="C210" s="13" t="n">
        <x:v>1</x:v>
      </x:c>
      <x:c r="D210" s="13" t="n">
        <x:v>1</x:v>
      </x:c>
      <x:c r="E210" s="13" t="n">
        <x:v>504</x:v>
      </x:c>
      <x:c r="F210" s="13" t="n">
        <x:v>492</x:v>
      </x:c>
      <x:c r="G210" s="13" t="n">
        <x:v>120</x:v>
      </x:c>
      <x:c r="H210" s="13" t="n">
        <x:v>276</x:v>
      </x:c>
      <x:c r="I210" s="13" t="n">
        <x:v>96</x:v>
      </x:c>
      <x:c r="J210" s="13" t="n">
        <x:v>0</x:v>
      </x:c>
      <x:c r="K210" s="13" t="n">
        <x:v>492</x:v>
      </x:c>
      <x:c r="L210" s="19" t="n">
        <x:f>'参数'!$D$5^A210*'参数'!$D$6^B210*'参数'!$D$7^C210*'参数'!$D$8^D210</x:f>
        <x:v>0.000003814697265625</x:v>
      </x:c>
      <x:c r="M210" s="19" t="n">
        <x:f>E210*L210</x:f>
        <x:v>0.001922607421875</x:v>
      </x:c>
      <x:c r="N210" s="19" t="n">
        <x:f>F210*L210</x:f>
        <x:v>0.0018768310546875</x:v>
      </x:c>
      <x:c r="O210" s="19" t="n">
        <x:f>G210*L210</x:f>
        <x:v>0.000457763671875</x:v>
      </x:c>
      <x:c r="P210" s="19" t="n">
        <x:f>H210*L210</x:f>
        <x:v>0.0010528564453125</x:v>
      </x:c>
      <x:c r="Q210" s="19" t="n">
        <x:f>I210*L210</x:f>
        <x:v>0.0003662109375</x:v>
      </x:c>
      <x:c r="R210" s="19" t="n">
        <x:f>J210*L210</x:f>
        <x:v>0</x:v>
      </x:c>
      <x:c r="S210" s="19" t="n">
        <x:f>K210*L210</x:f>
        <x:v>0.0018768310546875</x:v>
      </x:c>
    </x:row>
    <x:row r="211" ht="27" customHeight="1">
      <x:c r="A211" s="12" t="n">
        <x:v>6</x:v>
      </x:c>
      <x:c r="B211" s="12" t="n">
        <x:v>1</x:v>
      </x:c>
      <x:c r="C211" s="12" t="n">
        <x:v>2</x:v>
      </x:c>
      <x:c r="D211" s="12" t="n">
        <x:v>0</x:v>
      </x:c>
      <x:c r="E211" s="12" t="n">
        <x:v>252</x:v>
      </x:c>
      <x:c r="F211" s="12" t="n">
        <x:v>246</x:v>
      </x:c>
      <x:c r="G211" s="12" t="n">
        <x:v>60</x:v>
      </x:c>
      <x:c r="H211" s="12" t="n">
        <x:v>138</x:v>
      </x:c>
      <x:c r="I211" s="12" t="n">
        <x:v>48</x:v>
      </x:c>
      <x:c r="J211" s="12" t="n">
        <x:v>0</x:v>
      </x:c>
      <x:c r="K211" s="12" t="n">
        <x:v>246</x:v>
      </x:c>
      <x:c r="L211" s="18" t="n">
        <x:f>'参数'!$D$5^A211*'参数'!$D$6^B211*'参数'!$D$7^C211*'参数'!$D$8^D211</x:f>
        <x:v>0.000003814697265625</x:v>
      </x:c>
      <x:c r="M211" s="18" t="n">
        <x:f>E211*L211</x:f>
        <x:v>0.0009613037109375</x:v>
      </x:c>
      <x:c r="N211" s="18" t="n">
        <x:f>F211*L211</x:f>
        <x:v>0.00093841552734375</x:v>
      </x:c>
      <x:c r="O211" s="18" t="n">
        <x:f>G211*L211</x:f>
        <x:v>0.0002288818359375</x:v>
      </x:c>
      <x:c r="P211" s="18" t="n">
        <x:f>H211*L211</x:f>
        <x:v>0.00052642822265625</x:v>
      </x:c>
      <x:c r="Q211" s="18" t="n">
        <x:f>I211*L211</x:f>
        <x:v>0.00018310546875</x:v>
      </x:c>
      <x:c r="R211" s="18" t="n">
        <x:f>J211*L211</x:f>
        <x:v>0</x:v>
      </x:c>
      <x:c r="S211" s="18" t="n">
        <x:f>K211*L211</x:f>
        <x:v>0.00093841552734375</x:v>
      </x:c>
    </x:row>
    <x:row r="212" ht="27" customHeight="1">
      <x:c r="A212" s="13" t="n">
        <x:v>6</x:v>
      </x:c>
      <x:c r="B212" s="13" t="n">
        <x:v>2</x:v>
      </x:c>
      <x:c r="C212" s="13" t="n">
        <x:v>0</x:v>
      </x:c>
      <x:c r="D212" s="13" t="n">
        <x:v>1</x:v>
      </x:c>
      <x:c r="E212" s="13" t="n">
        <x:v>252</x:v>
      </x:c>
      <x:c r="F212" s="13" t="n">
        <x:v>246</x:v>
      </x:c>
      <x:c r="G212" s="13" t="n">
        <x:v>60</x:v>
      </x:c>
      <x:c r="H212" s="13" t="n">
        <x:v>138</x:v>
      </x:c>
      <x:c r="I212" s="13" t="n">
        <x:v>48</x:v>
      </x:c>
      <x:c r="J212" s="13" t="n">
        <x:v>0</x:v>
      </x:c>
      <x:c r="K212" s="13" t="n">
        <x:v>246</x:v>
      </x:c>
      <x:c r="L212" s="19" t="n">
        <x:f>'参数'!$D$5^A212*'参数'!$D$6^B212*'参数'!$D$7^C212*'参数'!$D$8^D212</x:f>
        <x:v>0.000003814697265625</x:v>
      </x:c>
      <x:c r="M212" s="19" t="n">
        <x:f>E212*L212</x:f>
        <x:v>0.0009613037109375</x:v>
      </x:c>
      <x:c r="N212" s="19" t="n">
        <x:f>F212*L212</x:f>
        <x:v>0.00093841552734375</x:v>
      </x:c>
      <x:c r="O212" s="19" t="n">
        <x:f>G212*L212</x:f>
        <x:v>0.0002288818359375</x:v>
      </x:c>
      <x:c r="P212" s="19" t="n">
        <x:f>H212*L212</x:f>
        <x:v>0.00052642822265625</x:v>
      </x:c>
      <x:c r="Q212" s="19" t="n">
        <x:f>I212*L212</x:f>
        <x:v>0.00018310546875</x:v>
      </x:c>
      <x:c r="R212" s="19" t="n">
        <x:f>J212*L212</x:f>
        <x:v>0</x:v>
      </x:c>
      <x:c r="S212" s="19" t="n">
        <x:f>K212*L212</x:f>
        <x:v>0.00093841552734375</x:v>
      </x:c>
    </x:row>
    <x:row r="213" ht="27" customHeight="1">
      <x:c r="A213" s="12" t="n">
        <x:v>6</x:v>
      </x:c>
      <x:c r="B213" s="12" t="n">
        <x:v>2</x:v>
      </x:c>
      <x:c r="C213" s="12" t="n">
        <x:v>1</x:v>
      </x:c>
      <x:c r="D213" s="12" t="n">
        <x:v>0</x:v>
      </x:c>
      <x:c r="E213" s="12" t="n">
        <x:v>252</x:v>
      </x:c>
      <x:c r="F213" s="12" t="n">
        <x:v>246</x:v>
      </x:c>
      <x:c r="G213" s="12" t="n">
        <x:v>60</x:v>
      </x:c>
      <x:c r="H213" s="12" t="n">
        <x:v>138</x:v>
      </x:c>
      <x:c r="I213" s="12" t="n">
        <x:v>48</x:v>
      </x:c>
      <x:c r="J213" s="12" t="n">
        <x:v>0</x:v>
      </x:c>
      <x:c r="K213" s="12" t="n">
        <x:v>246</x:v>
      </x:c>
      <x:c r="L213" s="18" t="n">
        <x:f>'参数'!$D$5^A213*'参数'!$D$6^B213*'参数'!$D$7^C213*'参数'!$D$8^D213</x:f>
        <x:v>0.000003814697265625</x:v>
      </x:c>
      <x:c r="M213" s="18" t="n">
        <x:f>E213*L213</x:f>
        <x:v>0.0009613037109375</x:v>
      </x:c>
      <x:c r="N213" s="18" t="n">
        <x:f>F213*L213</x:f>
        <x:v>0.00093841552734375</x:v>
      </x:c>
      <x:c r="O213" s="18" t="n">
        <x:f>G213*L213</x:f>
        <x:v>0.0002288818359375</x:v>
      </x:c>
      <x:c r="P213" s="18" t="n">
        <x:f>H213*L213</x:f>
        <x:v>0.00052642822265625</x:v>
      </x:c>
      <x:c r="Q213" s="18" t="n">
        <x:f>I213*L213</x:f>
        <x:v>0.00018310546875</x:v>
      </x:c>
      <x:c r="R213" s="18" t="n">
        <x:f>J213*L213</x:f>
        <x:v>0</x:v>
      </x:c>
      <x:c r="S213" s="18" t="n">
        <x:f>K213*L213</x:f>
        <x:v>0.00093841552734375</x:v>
      </x:c>
    </x:row>
    <x:row r="214" ht="27" customHeight="1">
      <x:c r="A214" s="13" t="n">
        <x:v>6</x:v>
      </x:c>
      <x:c r="B214" s="13" t="n">
        <x:v>3</x:v>
      </x:c>
      <x:c r="C214" s="13" t="n">
        <x:v>0</x:v>
      </x:c>
      <x:c r="D214" s="13" t="n">
        <x:v>0</x:v>
      </x:c>
      <x:c r="E214" s="13" t="n">
        <x:v>84</x:v>
      </x:c>
      <x:c r="F214" s="13" t="n">
        <x:v>84</x:v>
      </x:c>
      <x:c r="G214" s="13" t="n">
        <x:v>28</x:v>
      </x:c>
      <x:c r="H214" s="13" t="n">
        <x:v>46</x:v>
      </x:c>
      <x:c r="I214" s="13" t="n">
        <x:v>16</x:v>
      </x:c>
      <x:c r="J214" s="13" t="n">
        <x:v>0</x:v>
      </x:c>
      <x:c r="K214" s="13" t="n">
        <x:v>90</x:v>
      </x:c>
      <x:c r="L214" s="19" t="n">
        <x:f>'参数'!$D$5^A214*'参数'!$D$6^B214*'参数'!$D$7^C214*'参数'!$D$8^D214</x:f>
        <x:v>0.000003814697265625</x:v>
      </x:c>
      <x:c r="M214" s="19" t="n">
        <x:f>E214*L214</x:f>
        <x:v>0.0003204345703125</x:v>
      </x:c>
      <x:c r="N214" s="19" t="n">
        <x:f>F214*L214</x:f>
        <x:v>0.0003204345703125</x:v>
      </x:c>
      <x:c r="O214" s="19" t="n">
        <x:f>G214*L214</x:f>
        <x:v>0.0001068115234375</x:v>
      </x:c>
      <x:c r="P214" s="19" t="n">
        <x:f>H214*L214</x:f>
        <x:v>0.00017547607421875</x:v>
      </x:c>
      <x:c r="Q214" s="19" t="n">
        <x:f>I214*L214</x:f>
        <x:v>0.00006103515625</x:v>
      </x:c>
      <x:c r="R214" s="19" t="n">
        <x:f>J214*L214</x:f>
        <x:v>0</x:v>
      </x:c>
      <x:c r="S214" s="19" t="n">
        <x:f>K214*L214</x:f>
        <x:v>0.00034332275390625</x:v>
      </x:c>
    </x:row>
    <x:row r="215" ht="27" customHeight="1">
      <x:c r="A215" s="12" t="n">
        <x:v>7</x:v>
      </x:c>
      <x:c r="B215" s="12" t="n">
        <x:v>0</x:v>
      </x:c>
      <x:c r="C215" s="12" t="n">
        <x:v>0</x:v>
      </x:c>
      <x:c r="D215" s="12" t="n">
        <x:v>2</x:v>
      </x:c>
      <x:c r="E215" s="12" t="n">
        <x:v>36</x:v>
      </x:c>
      <x:c r="F215" s="12" t="n">
        <x:v>36</x:v>
      </x:c>
      <x:c r="G215" s="12" t="n">
        <x:v>0</x:v>
      </x:c>
      <x:c r="H215" s="12" t="n">
        <x:v>4</x:v>
      </x:c>
      <x:c r="I215" s="12" t="n">
        <x:v>18</x:v>
      </x:c>
      <x:c r="J215" s="12" t="n">
        <x:v>14</x:v>
      </x:c>
      <x:c r="K215" s="12" t="n">
        <x:v>36</x:v>
      </x:c>
      <x:c r="L215" s="18" t="n">
        <x:f>'参数'!$D$5^A215*'参数'!$D$6^B215*'参数'!$D$7^C215*'参数'!$D$8^D215</x:f>
        <x:v>0.000003814697265625</x:v>
      </x:c>
      <x:c r="M215" s="18" t="n">
        <x:f>E215*L215</x:f>
        <x:v>0.0001373291015625</x:v>
      </x:c>
      <x:c r="N215" s="18" t="n">
        <x:f>F215*L215</x:f>
        <x:v>0.0001373291015625</x:v>
      </x:c>
      <x:c r="O215" s="18" t="n">
        <x:f>G215*L215</x:f>
        <x:v>0</x:v>
      </x:c>
      <x:c r="P215" s="18" t="n">
        <x:f>H215*L215</x:f>
        <x:v>0.0000152587890625</x:v>
      </x:c>
      <x:c r="Q215" s="18" t="n">
        <x:f>I215*L215</x:f>
        <x:v>0.00006866455078125</x:v>
      </x:c>
      <x:c r="R215" s="18" t="n">
        <x:f>J215*L215</x:f>
        <x:v>0.00005340576171875</x:v>
      </x:c>
      <x:c r="S215" s="18" t="n">
        <x:f>K215*L215</x:f>
        <x:v>0.0001373291015625</x:v>
      </x:c>
    </x:row>
    <x:row r="216" ht="27" customHeight="1">
      <x:c r="A216" s="13" t="n">
        <x:v>7</x:v>
      </x:c>
      <x:c r="B216" s="13" t="n">
        <x:v>0</x:v>
      </x:c>
      <x:c r="C216" s="13" t="n">
        <x:v>1</x:v>
      </x:c>
      <x:c r="D216" s="13" t="n">
        <x:v>1</x:v>
      </x:c>
      <x:c r="E216" s="13" t="n">
        <x:v>72</x:v>
      </x:c>
      <x:c r="F216" s="13" t="n">
        <x:v>72</x:v>
      </x:c>
      <x:c r="G216" s="13" t="n">
        <x:v>0</x:v>
      </x:c>
      <x:c r="H216" s="13" t="n">
        <x:v>8</x:v>
      </x:c>
      <x:c r="I216" s="13" t="n">
        <x:v>36</x:v>
      </x:c>
      <x:c r="J216" s="13" t="n">
        <x:v>28</x:v>
      </x:c>
      <x:c r="K216" s="13" t="n">
        <x:v>72</x:v>
      </x:c>
      <x:c r="L216" s="19" t="n">
        <x:f>'参数'!$D$5^A216*'参数'!$D$6^B216*'参数'!$D$7^C216*'参数'!$D$8^D216</x:f>
        <x:v>0.000003814697265625</x:v>
      </x:c>
      <x:c r="M216" s="19" t="n">
        <x:f>E216*L216</x:f>
        <x:v>0.000274658203125</x:v>
      </x:c>
      <x:c r="N216" s="19" t="n">
        <x:f>F216*L216</x:f>
        <x:v>0.000274658203125</x:v>
      </x:c>
      <x:c r="O216" s="19" t="n">
        <x:f>G216*L216</x:f>
        <x:v>0</x:v>
      </x:c>
      <x:c r="P216" s="19" t="n">
        <x:f>H216*L216</x:f>
        <x:v>0.000030517578125</x:v>
      </x:c>
      <x:c r="Q216" s="19" t="n">
        <x:f>I216*L216</x:f>
        <x:v>0.0001373291015625</x:v>
      </x:c>
      <x:c r="R216" s="19" t="n">
        <x:f>J216*L216</x:f>
        <x:v>0.0001068115234375</x:v>
      </x:c>
      <x:c r="S216" s="19" t="n">
        <x:f>K216*L216</x:f>
        <x:v>0.000274658203125</x:v>
      </x:c>
    </x:row>
    <x:row r="217" ht="27" customHeight="1">
      <x:c r="A217" s="12" t="n">
        <x:v>7</x:v>
      </x:c>
      <x:c r="B217" s="12" t="n">
        <x:v>0</x:v>
      </x:c>
      <x:c r="C217" s="12" t="n">
        <x:v>2</x:v>
      </x:c>
      <x:c r="D217" s="12" t="n">
        <x:v>0</x:v>
      </x:c>
      <x:c r="E217" s="12" t="n">
        <x:v>36</x:v>
      </x:c>
      <x:c r="F217" s="12" t="n">
        <x:v>36</x:v>
      </x:c>
      <x:c r="G217" s="12" t="n">
        <x:v>0</x:v>
      </x:c>
      <x:c r="H217" s="12" t="n">
        <x:v>4</x:v>
      </x:c>
      <x:c r="I217" s="12" t="n">
        <x:v>18</x:v>
      </x:c>
      <x:c r="J217" s="12" t="n">
        <x:v>14</x:v>
      </x:c>
      <x:c r="K217" s="12" t="n">
        <x:v>36</x:v>
      </x:c>
      <x:c r="L217" s="18" t="n">
        <x:f>'参数'!$D$5^A217*'参数'!$D$6^B217*'参数'!$D$7^C217*'参数'!$D$8^D217</x:f>
        <x:v>0.000003814697265625</x:v>
      </x:c>
      <x:c r="M217" s="18" t="n">
        <x:f>E217*L217</x:f>
        <x:v>0.0001373291015625</x:v>
      </x:c>
      <x:c r="N217" s="18" t="n">
        <x:f>F217*L217</x:f>
        <x:v>0.0001373291015625</x:v>
      </x:c>
      <x:c r="O217" s="18" t="n">
        <x:f>G217*L217</x:f>
        <x:v>0</x:v>
      </x:c>
      <x:c r="P217" s="18" t="n">
        <x:f>H217*L217</x:f>
        <x:v>0.0000152587890625</x:v>
      </x:c>
      <x:c r="Q217" s="18" t="n">
        <x:f>I217*L217</x:f>
        <x:v>0.00006866455078125</x:v>
      </x:c>
      <x:c r="R217" s="18" t="n">
        <x:f>J217*L217</x:f>
        <x:v>0.00005340576171875</x:v>
      </x:c>
      <x:c r="S217" s="18" t="n">
        <x:f>K217*L217</x:f>
        <x:v>0.0001373291015625</x:v>
      </x:c>
    </x:row>
    <x:row r="218" ht="27" customHeight="1">
      <x:c r="A218" s="13" t="n">
        <x:v>7</x:v>
      </x:c>
      <x:c r="B218" s="13" t="n">
        <x:v>1</x:v>
      </x:c>
      <x:c r="C218" s="13" t="n">
        <x:v>0</x:v>
      </x:c>
      <x:c r="D218" s="13" t="n">
        <x:v>1</x:v>
      </x:c>
      <x:c r="E218" s="13" t="n">
        <x:v>72</x:v>
      </x:c>
      <x:c r="F218" s="13" t="n">
        <x:v>72</x:v>
      </x:c>
      <x:c r="G218" s="13" t="n">
        <x:v>0</x:v>
      </x:c>
      <x:c r="H218" s="13" t="n">
        <x:v>8</x:v>
      </x:c>
      <x:c r="I218" s="13" t="n">
        <x:v>36</x:v>
      </x:c>
      <x:c r="J218" s="13" t="n">
        <x:v>28</x:v>
      </x:c>
      <x:c r="K218" s="13" t="n">
        <x:v>72</x:v>
      </x:c>
      <x:c r="L218" s="19" t="n">
        <x:f>'参数'!$D$5^A218*'参数'!$D$6^B218*'参数'!$D$7^C218*'参数'!$D$8^D218</x:f>
        <x:v>0.000003814697265625</x:v>
      </x:c>
      <x:c r="M218" s="19" t="n">
        <x:f>E218*L218</x:f>
        <x:v>0.000274658203125</x:v>
      </x:c>
      <x:c r="N218" s="19" t="n">
        <x:f>F218*L218</x:f>
        <x:v>0.000274658203125</x:v>
      </x:c>
      <x:c r="O218" s="19" t="n">
        <x:f>G218*L218</x:f>
        <x:v>0</x:v>
      </x:c>
      <x:c r="P218" s="19" t="n">
        <x:f>H218*L218</x:f>
        <x:v>0.000030517578125</x:v>
      </x:c>
      <x:c r="Q218" s="19" t="n">
        <x:f>I218*L218</x:f>
        <x:v>0.0001373291015625</x:v>
      </x:c>
      <x:c r="R218" s="19" t="n">
        <x:f>J218*L218</x:f>
        <x:v>0.0001068115234375</x:v>
      </x:c>
      <x:c r="S218" s="19" t="n">
        <x:f>K218*L218</x:f>
        <x:v>0.000274658203125</x:v>
      </x:c>
    </x:row>
    <x:row r="219" ht="27" customHeight="1">
      <x:c r="A219" s="12" t="n">
        <x:v>7</x:v>
      </x:c>
      <x:c r="B219" s="12" t="n">
        <x:v>1</x:v>
      </x:c>
      <x:c r="C219" s="12" t="n">
        <x:v>1</x:v>
      </x:c>
      <x:c r="D219" s="12" t="n">
        <x:v>0</x:v>
      </x:c>
      <x:c r="E219" s="12" t="n">
        <x:v>72</x:v>
      </x:c>
      <x:c r="F219" s="12" t="n">
        <x:v>72</x:v>
      </x:c>
      <x:c r="G219" s="12" t="n">
        <x:v>0</x:v>
      </x:c>
      <x:c r="H219" s="12" t="n">
        <x:v>8</x:v>
      </x:c>
      <x:c r="I219" s="12" t="n">
        <x:v>36</x:v>
      </x:c>
      <x:c r="J219" s="12" t="n">
        <x:v>28</x:v>
      </x:c>
      <x:c r="K219" s="12" t="n">
        <x:v>72</x:v>
      </x:c>
      <x:c r="L219" s="18" t="n">
        <x:f>'参数'!$D$5^A219*'参数'!$D$6^B219*'参数'!$D$7^C219*'参数'!$D$8^D219</x:f>
        <x:v>0.000003814697265625</x:v>
      </x:c>
      <x:c r="M219" s="18" t="n">
        <x:f>E219*L219</x:f>
        <x:v>0.000274658203125</x:v>
      </x:c>
      <x:c r="N219" s="18" t="n">
        <x:f>F219*L219</x:f>
        <x:v>0.000274658203125</x:v>
      </x:c>
      <x:c r="O219" s="18" t="n">
        <x:f>G219*L219</x:f>
        <x:v>0</x:v>
      </x:c>
      <x:c r="P219" s="18" t="n">
        <x:f>H219*L219</x:f>
        <x:v>0.000030517578125</x:v>
      </x:c>
      <x:c r="Q219" s="18" t="n">
        <x:f>I219*L219</x:f>
        <x:v>0.0001373291015625</x:v>
      </x:c>
      <x:c r="R219" s="18" t="n">
        <x:f>J219*L219</x:f>
        <x:v>0.0001068115234375</x:v>
      </x:c>
      <x:c r="S219" s="18" t="n">
        <x:f>K219*L219</x:f>
        <x:v>0.000274658203125</x:v>
      </x:c>
    </x:row>
    <x:row r="220" ht="27" customHeight="1">
      <x:c r="A220" s="13" t="n">
        <x:v>7</x:v>
      </x:c>
      <x:c r="B220" s="13" t="n">
        <x:v>2</x:v>
      </x:c>
      <x:c r="C220" s="13" t="n">
        <x:v>0</x:v>
      </x:c>
      <x:c r="D220" s="13" t="n">
        <x:v>0</x:v>
      </x:c>
      <x:c r="E220" s="13" t="n">
        <x:v>36</x:v>
      </x:c>
      <x:c r="F220" s="13" t="n">
        <x:v>36</x:v>
      </x:c>
      <x:c r="G220" s="13" t="n">
        <x:v>0</x:v>
      </x:c>
      <x:c r="H220" s="13" t="n">
        <x:v>4</x:v>
      </x:c>
      <x:c r="I220" s="13" t="n">
        <x:v>18</x:v>
      </x:c>
      <x:c r="J220" s="13" t="n">
        <x:v>14</x:v>
      </x:c>
      <x:c r="K220" s="13" t="n">
        <x:v>36</x:v>
      </x:c>
      <x:c r="L220" s="19" t="n">
        <x:f>'参数'!$D$5^A220*'参数'!$D$6^B220*'参数'!$D$7^C220*'参数'!$D$8^D220</x:f>
        <x:v>0.000003814697265625</x:v>
      </x:c>
      <x:c r="M220" s="19" t="n">
        <x:f>E220*L220</x:f>
        <x:v>0.0001373291015625</x:v>
      </x:c>
      <x:c r="N220" s="19" t="n">
        <x:f>F220*L220</x:f>
        <x:v>0.0001373291015625</x:v>
      </x:c>
      <x:c r="O220" s="19" t="n">
        <x:f>G220*L220</x:f>
        <x:v>0</x:v>
      </x:c>
      <x:c r="P220" s="19" t="n">
        <x:f>H220*L220</x:f>
        <x:v>0.0000152587890625</x:v>
      </x:c>
      <x:c r="Q220" s="19" t="n">
        <x:f>I220*L220</x:f>
        <x:v>0.00006866455078125</x:v>
      </x:c>
      <x:c r="R220" s="19" t="n">
        <x:f>J220*L220</x:f>
        <x:v>0.00005340576171875</x:v>
      </x:c>
      <x:c r="S220" s="19" t="n">
        <x:f>K220*L220</x:f>
        <x:v>0.0001373291015625</x:v>
      </x:c>
    </x:row>
    <x:row r="221" ht="27" customHeight="1">
      <x:c r="A221" s="12" t="n">
        <x:v>8</x:v>
      </x:c>
      <x:c r="B221" s="12" t="n">
        <x:v>0</x:v>
      </x:c>
      <x:c r="C221" s="12" t="n">
        <x:v>0</x:v>
      </x:c>
      <x:c r="D221" s="12" t="n">
        <x:v>1</x:v>
      </x:c>
      <x:c r="E221" s="12" t="n">
        <x:v>9</x:v>
      </x:c>
      <x:c r="F221" s="12" t="n">
        <x:v>9</x:v>
      </x:c>
      <x:c r="G221" s="12" t="n">
        <x:v>0</x:v>
      </x:c>
      <x:c r="H221" s="12" t="n">
        <x:v>0</x:v>
      </x:c>
      <x:c r="I221" s="12" t="n">
        <x:v>0</x:v>
      </x:c>
      <x:c r="J221" s="12" t="n">
        <x:v>9</x:v>
      </x:c>
      <x:c r="K221" s="12" t="n">
        <x:v>9</x:v>
      </x:c>
      <x:c r="L221" s="18" t="n">
        <x:f>'参数'!$D$5^A221*'参数'!$D$6^B221*'参数'!$D$7^C221*'参数'!$D$8^D221</x:f>
        <x:v>0.000003814697265625</x:v>
      </x:c>
      <x:c r="M221" s="18" t="n">
        <x:f>E221*L221</x:f>
        <x:v>0.000034332275390625</x:v>
      </x:c>
      <x:c r="N221" s="18" t="n">
        <x:f>F221*L221</x:f>
        <x:v>0.000034332275390625</x:v>
      </x:c>
      <x:c r="O221" s="18" t="n">
        <x:f>G221*L221</x:f>
        <x:v>0</x:v>
      </x:c>
      <x:c r="P221" s="18" t="n">
        <x:f>H221*L221</x:f>
        <x:v>0</x:v>
      </x:c>
      <x:c r="Q221" s="18" t="n">
        <x:f>I221*L221</x:f>
        <x:v>0</x:v>
      </x:c>
      <x:c r="R221" s="18" t="n">
        <x:f>J221*L221</x:f>
        <x:v>0.000034332275390625</x:v>
      </x:c>
      <x:c r="S221" s="18" t="n">
        <x:f>K221*L221</x:f>
        <x:v>0.000034332275390625</x:v>
      </x:c>
    </x:row>
    <x:row r="222" ht="27" customHeight="1">
      <x:c r="A222" s="13" t="n">
        <x:v>8</x:v>
      </x:c>
      <x:c r="B222" s="13" t="n">
        <x:v>0</x:v>
      </x:c>
      <x:c r="C222" s="13" t="n">
        <x:v>1</x:v>
      </x:c>
      <x:c r="D222" s="13" t="n">
        <x:v>0</x:v>
      </x:c>
      <x:c r="E222" s="13" t="n">
        <x:v>9</x:v>
      </x:c>
      <x:c r="F222" s="13" t="n">
        <x:v>9</x:v>
      </x:c>
      <x:c r="G222" s="13" t="n">
        <x:v>0</x:v>
      </x:c>
      <x:c r="H222" s="13" t="n">
        <x:v>0</x:v>
      </x:c>
      <x:c r="I222" s="13" t="n">
        <x:v>0</x:v>
      </x:c>
      <x:c r="J222" s="13" t="n">
        <x:v>9</x:v>
      </x:c>
      <x:c r="K222" s="13" t="n">
        <x:v>9</x:v>
      </x:c>
      <x:c r="L222" s="19" t="n">
        <x:f>'参数'!$D$5^A222*'参数'!$D$6^B222*'参数'!$D$7^C222*'参数'!$D$8^D222</x:f>
        <x:v>0.000003814697265625</x:v>
      </x:c>
      <x:c r="M222" s="19" t="n">
        <x:f>E222*L222</x:f>
        <x:v>0.000034332275390625</x:v>
      </x:c>
      <x:c r="N222" s="19" t="n">
        <x:f>F222*L222</x:f>
        <x:v>0.000034332275390625</x:v>
      </x:c>
      <x:c r="O222" s="19" t="n">
        <x:f>G222*L222</x:f>
        <x:v>0</x:v>
      </x:c>
      <x:c r="P222" s="19" t="n">
        <x:f>H222*L222</x:f>
        <x:v>0</x:v>
      </x:c>
      <x:c r="Q222" s="19" t="n">
        <x:f>I222*L222</x:f>
        <x:v>0</x:v>
      </x:c>
      <x:c r="R222" s="19" t="n">
        <x:f>J222*L222</x:f>
        <x:v>0.000034332275390625</x:v>
      </x:c>
      <x:c r="S222" s="19" t="n">
        <x:f>K222*L222</x:f>
        <x:v>0.000034332275390625</x:v>
      </x:c>
    </x:row>
    <x:row r="223" ht="27" customHeight="1">
      <x:c r="A223" s="12" t="n">
        <x:v>8</x:v>
      </x:c>
      <x:c r="B223" s="12" t="n">
        <x:v>1</x:v>
      </x:c>
      <x:c r="C223" s="12" t="n">
        <x:v>0</x:v>
      </x:c>
      <x:c r="D223" s="12" t="n">
        <x:v>0</x:v>
      </x:c>
      <x:c r="E223" s="12" t="n">
        <x:v>9</x:v>
      </x:c>
      <x:c r="F223" s="12" t="n">
        <x:v>9</x:v>
      </x:c>
      <x:c r="G223" s="12" t="n">
        <x:v>0</x:v>
      </x:c>
      <x:c r="H223" s="12" t="n">
        <x:v>0</x:v>
      </x:c>
      <x:c r="I223" s="12" t="n">
        <x:v>0</x:v>
      </x:c>
      <x:c r="J223" s="12" t="n">
        <x:v>9</x:v>
      </x:c>
      <x:c r="K223" s="12" t="n">
        <x:v>9</x:v>
      </x:c>
      <x:c r="L223" s="18" t="n">
        <x:f>'参数'!$D$5^A223*'参数'!$D$6^B223*'参数'!$D$7^C223*'参数'!$D$8^D223</x:f>
        <x:v>0.000003814697265625</x:v>
      </x:c>
      <x:c r="M223" s="18" t="n">
        <x:f>E223*L223</x:f>
        <x:v>0.000034332275390625</x:v>
      </x:c>
      <x:c r="N223" s="18" t="n">
        <x:f>F223*L223</x:f>
        <x:v>0.000034332275390625</x:v>
      </x:c>
      <x:c r="O223" s="18" t="n">
        <x:f>G223*L223</x:f>
        <x:v>0</x:v>
      </x:c>
      <x:c r="P223" s="18" t="n">
        <x:f>H223*L223</x:f>
        <x:v>0</x:v>
      </x:c>
      <x:c r="Q223" s="18" t="n">
        <x:f>I223*L223</x:f>
        <x:v>0</x:v>
      </x:c>
      <x:c r="R223" s="18" t="n">
        <x:f>J223*L223</x:f>
        <x:v>0.000034332275390625</x:v>
      </x:c>
      <x:c r="S223" s="18" t="n">
        <x:f>K223*L223</x:f>
        <x:v>0.000034332275390625</x:v>
      </x:c>
    </x:row>
    <x:row r="224" ht="27" customHeight="1">
      <x:c r="A224" s="13" t="n">
        <x:v>9</x:v>
      </x:c>
      <x:c r="B224" s="13" t="n">
        <x:v>0</x:v>
      </x:c>
      <x:c r="C224" s="13" t="n">
        <x:v>0</x:v>
      </x:c>
      <x:c r="D224" s="13" t="n">
        <x:v>0</x:v>
      </x:c>
      <x:c r="E224" s="13" t="n">
        <x:v>1</x:v>
      </x:c>
      <x:c r="F224" s="13" t="n">
        <x:v>1</x:v>
      </x:c>
      <x:c r="G224" s="13" t="n">
        <x:v>0</x:v>
      </x:c>
      <x:c r="H224" s="13" t="n">
        <x:v>0</x:v>
      </x:c>
      <x:c r="I224" s="13" t="n">
        <x:v>0</x:v>
      </x:c>
      <x:c r="J224" s="13" t="n">
        <x:v>1</x:v>
      </x:c>
      <x:c r="K224" s="13" t="n">
        <x:v>1</x:v>
      </x:c>
      <x:c r="L224" s="19" t="n">
        <x:f>'参数'!$D$5^A224*'参数'!$D$6^B224*'参数'!$D$7^C224*'参数'!$D$8^D224</x:f>
        <x:v>0.000003814697265625</x:v>
      </x:c>
      <x:c r="M224" s="19" t="n">
        <x:f>E224*L224</x:f>
        <x:v>0.000003814697265625</x:v>
      </x:c>
      <x:c r="N224" s="19" t="n">
        <x:f>F224*L224</x:f>
        <x:v>0.000003814697265625</x:v>
      </x:c>
      <x:c r="O224" s="19" t="n">
        <x:f>G224*L224</x:f>
        <x:v>0</x:v>
      </x:c>
      <x:c r="P224" s="19" t="n">
        <x:f>H224*L224</x:f>
        <x:v>0</x:v>
      </x:c>
      <x:c r="Q224" s="19" t="n">
        <x:f>I224*L224</x:f>
        <x:v>0</x:v>
      </x:c>
      <x:c r="R224" s="19" t="n">
        <x:f>J224*L224</x:f>
        <x:v>0.000003814697265625</x:v>
      </x:c>
      <x:c r="S224" s="19" t="n">
        <x:f>K224*L224</x:f>
        <x:v>0.000003814697265625</x:v>
      </x:c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b0c4ad2392f543f8"/>
  </x:tableParts>
</x:worksheet>
</file>